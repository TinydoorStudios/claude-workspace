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rianlloyd/Documents/Claude/audio/Other/"/>
    </mc:Choice>
  </mc:AlternateContent>
  <xr:revisionPtr revIDLastSave="0" documentId="8_{0EDB70BA-1A55-694F-A17E-DCEC1D7A3149}" xr6:coauthVersionLast="47" xr6:coauthVersionMax="47" xr10:uidLastSave="{00000000-0000-0000-0000-000000000000}"/>
  <bookViews>
    <workbookView xWindow="0" yWindow="760" windowWidth="34560" windowHeight="21580" activeTab="2" xr2:uid="{00000000-000D-0000-FFFF-FFFF00000000}"/>
  </bookViews>
  <sheets>
    <sheet name="Design 1 - Integrated Zone" sheetId="1" r:id="rId1"/>
    <sheet name="Design 2 - Two-Up Split" sheetId="2" r:id="rId2"/>
    <sheet name="Design 3 - Zone Color Bar" sheetId="3" r:id="rId3"/>
    <sheet name="Mic Inventory" sheetId="4" r:id="rId4"/>
  </sheets>
  <definedNames>
    <definedName name="_xlnm.Print_Area" localSheetId="0">'Design 1 - Integrated Zone'!$A$1:$T$37</definedName>
    <definedName name="_xlnm.Print_Area" localSheetId="1">'Design 2 - Two-Up Split'!$A$1:$V$46</definedName>
    <definedName name="_xlnm.Print_Area" localSheetId="2">'Design 3 - Zone Color Bar'!$A$1:$T$37</definedName>
    <definedName name="_xlnm.Print_Area" localSheetId="3">'Mic Inventory'!$A$1:$G$46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7" i="3" l="1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V37" i="1"/>
  <c r="V36" i="1"/>
  <c r="V35" i="1"/>
  <c r="V34" i="1"/>
  <c r="V33" i="1"/>
  <c r="V32" i="1"/>
  <c r="V31" i="1"/>
  <c r="V30" i="1"/>
  <c r="V29" i="1"/>
  <c r="V28" i="1"/>
  <c r="V27" i="1"/>
  <c r="V26" i="1"/>
  <c r="T26" i="1"/>
  <c r="V25" i="1"/>
  <c r="V24" i="1"/>
  <c r="V23" i="1"/>
  <c r="V22" i="1"/>
  <c r="V21" i="1"/>
  <c r="V20" i="1"/>
  <c r="V19" i="1"/>
  <c r="V18" i="1"/>
  <c r="V17" i="1"/>
  <c r="V16" i="1"/>
  <c r="K16" i="1"/>
  <c r="V15" i="1"/>
  <c r="V14" i="1"/>
  <c r="V13" i="1"/>
  <c r="V12" i="1"/>
  <c r="V11" i="1"/>
  <c r="V10" i="1"/>
  <c r="P18" i="1" s="1"/>
  <c r="V9" i="1"/>
  <c r="V8" i="1"/>
  <c r="V7" i="1"/>
  <c r="V6" i="1"/>
  <c r="S25" i="1" s="1"/>
  <c r="V39" i="2" l="1"/>
  <c r="K29" i="3"/>
  <c r="B28" i="2"/>
  <c r="B30" i="2"/>
  <c r="B32" i="2"/>
  <c r="B34" i="2"/>
  <c r="B36" i="2"/>
  <c r="B38" i="2"/>
  <c r="B40" i="2"/>
  <c r="K16" i="3"/>
  <c r="T17" i="3"/>
  <c r="P19" i="3"/>
  <c r="L21" i="3"/>
  <c r="S24" i="3"/>
  <c r="O26" i="3"/>
  <c r="L29" i="3"/>
  <c r="T17" i="1"/>
  <c r="L29" i="1"/>
  <c r="S19" i="1"/>
  <c r="S21" i="1"/>
  <c r="O18" i="1"/>
  <c r="L25" i="1"/>
  <c r="K31" i="2"/>
  <c r="K15" i="1"/>
  <c r="P15" i="1"/>
  <c r="S20" i="1"/>
  <c r="T25" i="1"/>
  <c r="K28" i="1"/>
  <c r="T20" i="1"/>
  <c r="C28" i="2"/>
  <c r="C30" i="2"/>
  <c r="C32" i="2"/>
  <c r="C34" i="2"/>
  <c r="C36" i="2"/>
  <c r="C38" i="2"/>
  <c r="C40" i="2"/>
  <c r="L16" i="3"/>
  <c r="S19" i="3"/>
  <c r="O21" i="3"/>
  <c r="K23" i="3"/>
  <c r="T24" i="3"/>
  <c r="P26" i="3"/>
  <c r="O21" i="1"/>
  <c r="L18" i="1"/>
  <c r="K37" i="2"/>
  <c r="L20" i="1"/>
  <c r="O22" i="1"/>
  <c r="S15" i="1"/>
  <c r="K19" i="1"/>
  <c r="L24" i="1"/>
  <c r="T15" i="1"/>
  <c r="P17" i="1"/>
  <c r="L19" i="1"/>
  <c r="S22" i="1"/>
  <c r="O24" i="1"/>
  <c r="K26" i="1"/>
  <c r="K28" i="2"/>
  <c r="K30" i="2"/>
  <c r="K32" i="2"/>
  <c r="K34" i="2"/>
  <c r="K36" i="2"/>
  <c r="K38" i="2"/>
  <c r="B41" i="2"/>
  <c r="O16" i="3"/>
  <c r="K18" i="3"/>
  <c r="T19" i="3"/>
  <c r="P21" i="3"/>
  <c r="L23" i="3"/>
  <c r="S26" i="3"/>
  <c r="K30" i="3"/>
  <c r="T24" i="1"/>
  <c r="P16" i="1"/>
  <c r="K20" i="1"/>
  <c r="K29" i="2"/>
  <c r="K39" i="2"/>
  <c r="L17" i="1"/>
  <c r="K24" i="1"/>
  <c r="O17" i="1"/>
  <c r="P22" i="1"/>
  <c r="L28" i="1"/>
  <c r="S17" i="1"/>
  <c r="O19" i="1"/>
  <c r="K21" i="1"/>
  <c r="T22" i="1"/>
  <c r="P24" i="1"/>
  <c r="L26" i="1"/>
  <c r="K29" i="1"/>
  <c r="L28" i="2"/>
  <c r="L30" i="2"/>
  <c r="L32" i="2"/>
  <c r="L34" i="2"/>
  <c r="L36" i="2"/>
  <c r="L38" i="2"/>
  <c r="C41" i="2"/>
  <c r="P16" i="3"/>
  <c r="L18" i="3"/>
  <c r="S21" i="3"/>
  <c r="O23" i="3"/>
  <c r="K25" i="3"/>
  <c r="T26" i="3"/>
  <c r="L30" i="3"/>
  <c r="U28" i="2"/>
  <c r="U30" i="2"/>
  <c r="U32" i="2"/>
  <c r="U34" i="2"/>
  <c r="U36" i="2"/>
  <c r="U38" i="2"/>
  <c r="B42" i="2"/>
  <c r="S16" i="3"/>
  <c r="O18" i="3"/>
  <c r="K20" i="3"/>
  <c r="T21" i="3"/>
  <c r="P23" i="3"/>
  <c r="L25" i="3"/>
  <c r="V28" i="2"/>
  <c r="V30" i="2"/>
  <c r="V32" i="2"/>
  <c r="V34" i="2"/>
  <c r="V36" i="2"/>
  <c r="V38" i="2"/>
  <c r="C42" i="2"/>
  <c r="K15" i="3"/>
  <c r="T16" i="3"/>
  <c r="P18" i="3"/>
  <c r="L20" i="3"/>
  <c r="S23" i="3"/>
  <c r="O25" i="3"/>
  <c r="K27" i="3"/>
  <c r="O16" i="1"/>
  <c r="K18" i="1"/>
  <c r="T19" i="1"/>
  <c r="P21" i="1"/>
  <c r="L23" i="1"/>
  <c r="S26" i="1"/>
  <c r="K30" i="1"/>
  <c r="B29" i="2"/>
  <c r="B31" i="2"/>
  <c r="B33" i="2"/>
  <c r="B35" i="2"/>
  <c r="B37" i="2"/>
  <c r="B39" i="2"/>
  <c r="B43" i="2"/>
  <c r="L15" i="3"/>
  <c r="S18" i="3"/>
  <c r="O20" i="3"/>
  <c r="K22" i="3"/>
  <c r="T23" i="3"/>
  <c r="P25" i="3"/>
  <c r="L27" i="3"/>
  <c r="L30" i="1"/>
  <c r="C29" i="2"/>
  <c r="C31" i="2"/>
  <c r="C33" i="2"/>
  <c r="C35" i="2"/>
  <c r="C37" i="2"/>
  <c r="C39" i="2"/>
  <c r="C43" i="2"/>
  <c r="O15" i="3"/>
  <c r="K17" i="3"/>
  <c r="T18" i="3"/>
  <c r="P20" i="3"/>
  <c r="L22" i="3"/>
  <c r="S25" i="3"/>
  <c r="P15" i="3"/>
  <c r="L17" i="3"/>
  <c r="S20" i="3"/>
  <c r="O22" i="3"/>
  <c r="K24" i="3"/>
  <c r="T25" i="3"/>
  <c r="K28" i="3"/>
  <c r="L29" i="2"/>
  <c r="L31" i="2"/>
  <c r="L33" i="2"/>
  <c r="L35" i="2"/>
  <c r="L37" i="2"/>
  <c r="L39" i="2"/>
  <c r="S15" i="3"/>
  <c r="O17" i="3"/>
  <c r="K19" i="3"/>
  <c r="T20" i="3"/>
  <c r="P22" i="3"/>
  <c r="L24" i="3"/>
  <c r="L28" i="3"/>
  <c r="P19" i="1"/>
  <c r="S24" i="1"/>
  <c r="L16" i="1"/>
  <c r="K23" i="1"/>
  <c r="O23" i="1"/>
  <c r="S16" i="1"/>
  <c r="P23" i="1"/>
  <c r="K33" i="2"/>
  <c r="T16" i="1"/>
  <c r="S23" i="1"/>
  <c r="K27" i="1"/>
  <c r="L15" i="1"/>
  <c r="S18" i="1"/>
  <c r="O20" i="1"/>
  <c r="K22" i="1"/>
  <c r="T23" i="1"/>
  <c r="P25" i="1"/>
  <c r="L27" i="1"/>
  <c r="U29" i="2"/>
  <c r="U31" i="2"/>
  <c r="U33" i="2"/>
  <c r="U35" i="2"/>
  <c r="U37" i="2"/>
  <c r="U39" i="2"/>
  <c r="T15" i="3"/>
  <c r="P17" i="3"/>
  <c r="L19" i="3"/>
  <c r="S22" i="3"/>
  <c r="O24" i="3"/>
  <c r="K26" i="3"/>
  <c r="L21" i="1"/>
  <c r="O26" i="1"/>
  <c r="P26" i="1"/>
  <c r="K25" i="1"/>
  <c r="T21" i="1"/>
  <c r="K35" i="2"/>
  <c r="O25" i="1"/>
  <c r="O15" i="1"/>
  <c r="K17" i="1"/>
  <c r="T18" i="1"/>
  <c r="P20" i="1"/>
  <c r="L22" i="1"/>
  <c r="V29" i="2"/>
  <c r="V31" i="2"/>
  <c r="V33" i="2"/>
  <c r="V35" i="2"/>
  <c r="V37" i="2"/>
  <c r="S17" i="3"/>
  <c r="O19" i="3"/>
  <c r="K21" i="3"/>
  <c r="T22" i="3"/>
  <c r="P24" i="3"/>
  <c r="L26" i="3"/>
</calcChain>
</file>

<file path=xl/sharedStrings.xml><?xml version="1.0" encoding="utf-8"?>
<sst xmlns="http://schemas.openxmlformats.org/spreadsheetml/2006/main" count="503" uniqueCount="256">
  <si>
    <t>INPUT LIST — MASTER TEMPLATE</t>
  </si>
  <si>
    <t>Show:</t>
  </si>
  <si>
    <t>Venue:</t>
  </si>
  <si>
    <t>Date:</t>
  </si>
  <si>
    <t>FOH:</t>
  </si>
  <si>
    <t>MON:</t>
  </si>
  <si>
    <t>Zone key: RED = Stage Box/Snake 1–16   GREEN = Stage Box/Snake 1–12   BLUE = Stage Box/Snake 1–12   |   Zone + Patch # together locate the physical patch point. Row 6 is a filled example — clear before a show.</t>
  </si>
  <si>
    <t>Ch</t>
  </si>
  <si>
    <t>Instrument</t>
  </si>
  <si>
    <t>Mic/DI</t>
  </si>
  <si>
    <t>Zone</t>
  </si>
  <si>
    <t>Patch #</t>
  </si>
  <si>
    <t>48V</t>
  </si>
  <si>
    <t>Stand</t>
  </si>
  <si>
    <t>Notes</t>
  </si>
  <si>
    <t>MIXES / AUX</t>
  </si>
  <si>
    <t>1</t>
  </si>
  <si>
    <t>Kick In</t>
  </si>
  <si>
    <t>DM6</t>
  </si>
  <si>
    <t>Red</t>
  </si>
  <si>
    <t>3</t>
  </si>
  <si>
    <t>✓</t>
  </si>
  <si>
    <t>Short</t>
  </si>
  <si>
    <t>EXAMPLE — delete before show</t>
  </si>
  <si>
    <t>Mix 1</t>
  </si>
  <si>
    <t>Mix 2</t>
  </si>
  <si>
    <t>Mix 3</t>
  </si>
  <si>
    <t>Mix 4</t>
  </si>
  <si>
    <t>Mix 5</t>
  </si>
  <si>
    <t>Mix 6</t>
  </si>
  <si>
    <t>SNAKE PATCH SHEETS — auto-fills from the channel grid</t>
  </si>
  <si>
    <t>Loc</t>
  </si>
  <si>
    <t>Live: fill Zone + Patch # on the channel grid at left and the matching location here fills in automatically. Blank = not patched yet.</t>
  </si>
  <si>
    <t>INPUT LIST — MASTER TEMPLATE (Two-Up)</t>
  </si>
  <si>
    <t>Split Patch: pick the zone color in the small swatch, then type the location number (RED 1–16, GREEN 1–12, BLUE 1–12) — or type WIRELESS for wireless channels (leave the swatch blank). The cell colors itself to match. Ch 1 (left) and Ch 17 (right) are worked examples — clear before a show.</t>
  </si>
  <si>
    <t>Split Patch</t>
  </si>
  <si>
    <t>EXAMPLE</t>
  </si>
  <si>
    <t>17</t>
  </si>
  <si>
    <t>Ovhd L</t>
  </si>
  <si>
    <t>SR20</t>
  </si>
  <si>
    <t>Blue</t>
  </si>
  <si>
    <t>2</t>
  </si>
  <si>
    <t>Boom</t>
  </si>
  <si>
    <t>MIXES / AUX SENDS</t>
  </si>
  <si>
    <t>Live: set the Split Patch swatch + number on either channel block above and the matching location here fills in automatically. Blank = not patched yet.</t>
  </si>
  <si>
    <t>Split Patch format: R## / G## / B##  (letter = snake zone, number = location — R 1–16, G 1–12, B 1–12). The color bar auto-fills to confirm the zone as you type. Row 6 is a worked example — clear before a show.</t>
  </si>
  <si>
    <t>R-03</t>
  </si>
  <si>
    <t>SNAKE PATCH SHEETS — auto-fills from Split Patch</t>
  </si>
  <si>
    <t>Live: type the zone letter + number into Split Patch on the channel grid (e.g. R-03) and the matching location here fills in automatically.</t>
  </si>
  <si>
    <t>Model</t>
  </si>
  <si>
    <t>Category</t>
  </si>
  <si>
    <t>Pattern</t>
  </si>
  <si>
    <t>Primary Applications</t>
  </si>
  <si>
    <t>48V Phantom</t>
  </si>
  <si>
    <t>Kit / Source</t>
  </si>
  <si>
    <t>Shure SM57</t>
  </si>
  <si>
    <t>Dynamic</t>
  </si>
  <si>
    <t>Cardioid</t>
  </si>
  <si>
    <t>Snare, guitar cab, brass, perc, utility</t>
  </si>
  <si>
    <t>No phantom</t>
  </si>
  <si>
    <t>Standalone</t>
  </si>
  <si>
    <t>Shure SM58</t>
  </si>
  <si>
    <t>Handheld vocals</t>
  </si>
  <si>
    <t>Shure Beta 52</t>
  </si>
  <si>
    <t>Supercardioid</t>
  </si>
  <si>
    <t>Kick drum — body/thump layer (inside)</t>
  </si>
  <si>
    <t>Pair with Beta 91 for 2-mic kick rig</t>
  </si>
  <si>
    <t>Shure Beta 58</t>
  </si>
  <si>
    <t>Handheld vocals — higher off-axis rejection than SM58</t>
  </si>
  <si>
    <t>Sennheiser MD421</t>
  </si>
  <si>
    <t>Toms, guitar cabs, brass, woodwinds</t>
  </si>
  <si>
    <t>5-position bass rolloff switch</t>
  </si>
  <si>
    <t>Sennheiser e609</t>
  </si>
  <si>
    <t>Guitar cab — side-address, hang over cab face</t>
  </si>
  <si>
    <t>Sennheiser e604</t>
  </si>
  <si>
    <t>Toms, snare — clip-on mount</t>
  </si>
  <si>
    <t>Audix D6</t>
  </si>
  <si>
    <t>Kick drum — attack/click layer (inside)</t>
  </si>
  <si>
    <t>Standalone + DP8</t>
  </si>
  <si>
    <t>Audix i5</t>
  </si>
  <si>
    <t>Snare — tight, punchy</t>
  </si>
  <si>
    <t>Audix DP8</t>
  </si>
  <si>
    <t>Audix D2</t>
  </si>
  <si>
    <t>Small/mid toms</t>
  </si>
  <si>
    <t>×2 in DP8</t>
  </si>
  <si>
    <t>Audix D4</t>
  </si>
  <si>
    <t>Floor tom — more low-end extension than D2</t>
  </si>
  <si>
    <t>Audio-Technica AE2500</t>
  </si>
  <si>
    <t>Dynamic / Condenser</t>
  </si>
  <si>
    <t>Kick drum — dual-element (dynamic + condenser) in one body; complete kick picture on two channels</t>
  </si>
  <si>
    <t>48V req. (cond. element only)</t>
  </si>
  <si>
    <t>Two XLR outputs — dynamic for body/thump, condenser for attack/transient; blend on console or sum post-fader</t>
  </si>
  <si>
    <t>sE V-Kick</t>
  </si>
  <si>
    <t>Kick drum — compact alternative</t>
  </si>
  <si>
    <t>sE V Pack Arena</t>
  </si>
  <si>
    <t>sE V-Beat</t>
  </si>
  <si>
    <t>Toms — V-Clamp rim mount</t>
  </si>
  <si>
    <t>×3 in kit</t>
  </si>
  <si>
    <t>sE V7 X</t>
  </si>
  <si>
    <t>Snare — dynamic instrument mic</t>
  </si>
  <si>
    <t>Lauten Snare Mic</t>
  </si>
  <si>
    <t>SDC</t>
  </si>
  <si>
    <t>Snare drum — purpose-built FET condenser; studio, live, and touring</t>
  </si>
  <si>
    <t>Requires 48V</t>
  </si>
  <si>
    <t>LS-408; 28dB off-axis rejection; onboard HP (flat/80Hz/140Hz) &amp; LP (flat/12kHz/5kHz) filters; articulating swivel mount included</t>
  </si>
  <si>
    <t>Schoeps CMC6 + MK4</t>
  </si>
  <si>
    <t>Classical overheads, acoustic soloists, spot mics</t>
  </si>
  <si>
    <t>Interchangeable cap body</t>
  </si>
  <si>
    <t>Schoeps CMC6 + MK5</t>
  </si>
  <si>
    <t>Omni / Cardioid</t>
  </si>
  <si>
    <t>Classical room, Decca tree, wide ambient</t>
  </si>
  <si>
    <t>Switchable omni or cardioid</t>
  </si>
  <si>
    <t>Sennheiser MKH 40</t>
  </si>
  <si>
    <t>Classical main pair — ORTF, NOS, spaced omni</t>
  </si>
  <si>
    <t>Pair; extremely low self-noise. First-call classical main.</t>
  </si>
  <si>
    <t>DPA 4099</t>
  </si>
  <si>
    <t>Instrument clip — strings, brass, woodwinds, piano, guitar; spot mic on kit</t>
  </si>
  <si>
    <t>144 dB SPL; instrument-specific mounts</t>
  </si>
  <si>
    <t>Shure SM81</t>
  </si>
  <si>
    <t>Overheads, hi-hat, acoustic instruments</t>
  </si>
  <si>
    <t>Shure Beta 91</t>
  </si>
  <si>
    <t>Boundary (half-card.)</t>
  </si>
  <si>
    <t>Kick drum — attack layer (inside, on head)</t>
  </si>
  <si>
    <t>Pair with Beta 52</t>
  </si>
  <si>
    <t>AKG C422</t>
  </si>
  <si>
    <t>Stereo coincident</t>
  </si>
  <si>
    <t>Stereo overheads, acoustic piano</t>
  </si>
  <si>
    <t>XY stereo pair in one body</t>
  </si>
  <si>
    <t>Audix M1280BHC</t>
  </si>
  <si>
    <t>Hi-hat — ultra-compact condenser clip mic</t>
  </si>
  <si>
    <t>Audix M1280B</t>
  </si>
  <si>
    <t>Overheads / cymbals — compact matched pair</t>
  </si>
  <si>
    <t>Earthworks DM6</t>
  </si>
  <si>
    <t>Kick drum — condenser; wide freq response; solo or layer with dynamic</t>
  </si>
  <si>
    <t>Earthworks DK-6</t>
  </si>
  <si>
    <t>Triad-Orbit M2-R mount included</t>
  </si>
  <si>
    <t>Earthworks DM17</t>
  </si>
  <si>
    <t>Snare, toms — rim-mount (RM3); condenser clarity on kit</t>
  </si>
  <si>
    <t>×4 in kit; RM3 rim mounts included</t>
  </si>
  <si>
    <t>Earthworks SR20sp G2</t>
  </si>
  <si>
    <t>Drum overheads — matched stereo pair</t>
  </si>
  <si>
    <t>Earthworks SR25</t>
  </si>
  <si>
    <t>Overheads (×2) or kick (×1) — 3 mics in DK-25</t>
  </si>
  <si>
    <t>Earthworks DK-25</t>
  </si>
  <si>
    <t>sE sE8</t>
  </si>
  <si>
    <t>Line Audio OM1</t>
  </si>
  <si>
    <t>Omni pressure</t>
  </si>
  <si>
    <t>Crowd / ambient — flown 18' above stage at The Memo</t>
  </si>
  <si>
    <t>Pair; EQ starting points in venue-notes.md</t>
  </si>
  <si>
    <t>Line Audio CM4</t>
  </si>
  <si>
    <t>Cardioid (ORTF pr)</t>
  </si>
  <si>
    <t>Crowd, balcony rear-facing at The Memo</t>
  </si>
  <si>
    <t>Deity S2</t>
  </si>
  <si>
    <t>SDC / Shotgun</t>
  </si>
  <si>
    <t>Short shotgun</t>
  </si>
  <si>
    <t>Crowd — under main-floor PA, aimed into audience at The Memo</t>
  </si>
  <si>
    <t>Neumann KMS 105</t>
  </si>
  <si>
    <t>LDC</t>
  </si>
  <si>
    <t>Lead vocals (stage condenser) — detail and presence over dynamics</t>
  </si>
  <si>
    <t>Designed for live handheld use</t>
  </si>
  <si>
    <t>Neumann TLM 102</t>
  </si>
  <si>
    <t>Studio/recording vocals, acoustic instruments, overheads</t>
  </si>
  <si>
    <t>Transformerless; low self-noise</t>
  </si>
  <si>
    <t>AKG C414</t>
  </si>
  <si>
    <t>Omni/Card/Fig-8/Supercard</t>
  </si>
  <si>
    <t>Versatile — room, overheads, vocals, brass, strings</t>
  </si>
  <si>
    <t>Multiple pattern/pad/HPF switches</t>
  </si>
  <si>
    <t>Shure Beta 27</t>
  </si>
  <si>
    <t>Vocals, overheads, acoustic instruments</t>
  </si>
  <si>
    <t>Low-cut &amp; −15 dB pad switches</t>
  </si>
  <si>
    <t>Warm Audio WA-87</t>
  </si>
  <si>
    <t>Omni / Cardioid / Fig-8</t>
  </si>
  <si>
    <t>Vocals, room, overheads, acoustic instruments</t>
  </si>
  <si>
    <t>Transformer-coupled; U87-inspired; multi-pattern; low-cut &amp; pad switches</t>
  </si>
  <si>
    <t>Warm Audio WA-14</t>
  </si>
  <si>
    <t>Vocals, room, overheads, instruments — versatile multi-pattern</t>
  </si>
  <si>
    <t>Transformer-coupled; C414-inspired; multiple pattern/pad/HPF switches</t>
  </si>
  <si>
    <t>Royer R-121</t>
  </si>
  <si>
    <t>Ribbon</t>
  </si>
  <si>
    <t>Figure-8</t>
  </si>
  <si>
    <t>Guitar cab blend mic (pair with SM57)</t>
  </si>
  <si>
    <t>⚠ NO 48V — destroys ribbon</t>
  </si>
  <si>
    <t>Sit 6–10 dB below SM57; polarity-check in mono; VCA-group with SM57 (CH 13/15 at Memo)</t>
  </si>
  <si>
    <t>Royer R-10</t>
  </si>
  <si>
    <t>Guitar cab, room, acoustic instruments — alt to R-121</t>
  </si>
  <si>
    <t>AEA R88</t>
  </si>
  <si>
    <t>Stereo Fig-8 (Blumlein)</t>
  </si>
  <si>
    <t>Room, overhead, acoustic ensemble</t>
  </si>
  <si>
    <t>High output — watch gain; handle with care</t>
  </si>
  <si>
    <t>Radial J48</t>
  </si>
  <si>
    <t>DI</t>
  </si>
  <si>
    <t>Active (phantom)</t>
  </si>
  <si>
    <t>General-purpose DI — keys, bass, acoustic guitar, playback</t>
  </si>
  <si>
    <t>Jensen-style transformer output</t>
  </si>
  <si>
    <t>Radial ProDI</t>
  </si>
  <si>
    <t>Passive</t>
  </si>
  <si>
    <t>General-purpose passive DI — guitar, bass, keys, acoustic</t>
  </si>
  <si>
    <t>Passive; transformer-isolated; no power required</t>
  </si>
  <si>
    <t>Neve RNDI</t>
  </si>
  <si>
    <t>Hi-Z instrument — electric bass, guitar direct, synth</t>
  </si>
  <si>
    <t>Transformer-balanced; excellent for bass clarity</t>
  </si>
  <si>
    <t>R-01</t>
  </si>
  <si>
    <t>R-02</t>
  </si>
  <si>
    <t>R-04</t>
  </si>
  <si>
    <t>R-05</t>
  </si>
  <si>
    <t>R-06</t>
  </si>
  <si>
    <t>R-07</t>
  </si>
  <si>
    <t>R-08</t>
  </si>
  <si>
    <t>R-09</t>
  </si>
  <si>
    <t>R-10</t>
  </si>
  <si>
    <t>R-11</t>
  </si>
  <si>
    <t>R-12</t>
  </si>
  <si>
    <t>R-13</t>
  </si>
  <si>
    <t>R-14</t>
  </si>
  <si>
    <t>Kick Out</t>
  </si>
  <si>
    <t>R-1</t>
  </si>
  <si>
    <t>R-2</t>
  </si>
  <si>
    <t>R-4</t>
  </si>
  <si>
    <t>R-5</t>
  </si>
  <si>
    <t>R-6</t>
  </si>
  <si>
    <t>R-7</t>
  </si>
  <si>
    <t>R-8</t>
  </si>
  <si>
    <t>R-9</t>
  </si>
  <si>
    <t>Sanre Top</t>
  </si>
  <si>
    <t>Snare Bottom</t>
  </si>
  <si>
    <t>Hat</t>
  </si>
  <si>
    <t>Rack 1</t>
  </si>
  <si>
    <t>Rack 2</t>
  </si>
  <si>
    <t>Floor 1</t>
  </si>
  <si>
    <t>Floor 2</t>
  </si>
  <si>
    <t>Overhead Left</t>
  </si>
  <si>
    <t>Overhead Right</t>
  </si>
  <si>
    <t>Bass DI</t>
  </si>
  <si>
    <t>Bass Mic</t>
  </si>
  <si>
    <t xml:space="preserve"> </t>
  </si>
  <si>
    <t>KeyTar</t>
  </si>
  <si>
    <t>Guitar</t>
  </si>
  <si>
    <t>Acoustic</t>
  </si>
  <si>
    <t>Piano Left</t>
  </si>
  <si>
    <t>Piano Right</t>
  </si>
  <si>
    <t>Keys Left</t>
  </si>
  <si>
    <t>Keys Right</t>
  </si>
  <si>
    <t>G-1</t>
  </si>
  <si>
    <t>G-2</t>
  </si>
  <si>
    <t>G-3</t>
  </si>
  <si>
    <t>G-4</t>
  </si>
  <si>
    <t>G-5</t>
  </si>
  <si>
    <t>R-15</t>
  </si>
  <si>
    <t>B57</t>
  </si>
  <si>
    <t>Radial</t>
  </si>
  <si>
    <t>XLR</t>
  </si>
  <si>
    <t>Pablo Cruise</t>
  </si>
  <si>
    <t>Memo</t>
  </si>
  <si>
    <t>Date: 7/19/26</t>
  </si>
  <si>
    <t>FOH: Tour</t>
  </si>
  <si>
    <t>MON: Kade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</si>
</sst>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2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i/>
      <sz val="8.5"/>
      <color rgb="FFFFFFFF"/>
      <name val="Calibri"/>
      <family val="2"/>
    </font>
    <font>
      <i/>
      <sz val="9"/>
      <color rgb="FF6B728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i/>
      <sz val="8"/>
      <color rgb="FF6B7280"/>
      <name val="Calibri"/>
      <family val="2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sz val="10.5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Helvetica Neue"/>
      <family val="2"/>
    </font>
    <font>
      <sz val="11"/>
      <color rgb="FF000000"/>
      <name val="Helvetica Neue"/>
      <family val="2"/>
    </font>
    <font>
      <sz val="11"/>
      <color theme="1"/>
      <name val="Calibri"/>
      <family val="2"/>
      <scheme val="minor"/>
    </font>
    <font>
      <sz val="11"/>
      <color rgb="FF000000"/>
      <name val="Hiragino Sans"/>
    </font>
    <font>
      <i/>
      <sz val="9"/>
      <color rgb="FF6B7280"/>
      <name val="Consolas"/>
      <family val="2"/>
    </font>
    <font>
      <sz val="9"/>
      <color rgb="FF000000"/>
      <name val="Consolas"/>
      <family val="2"/>
    </font>
    <font>
      <i/>
      <sz val="10.5"/>
      <color rgb="FF6B7280"/>
      <name val="Consolas"/>
      <family val="2"/>
    </font>
    <font>
      <sz val="10.5"/>
      <color rgb="FF000000"/>
      <name val="Consolas"/>
      <family val="2"/>
    </font>
    <font>
      <b/>
      <sz val="8.5"/>
      <color rgb="FFFFFFFF"/>
      <name val="Calibri"/>
      <family val="2"/>
    </font>
    <font>
      <i/>
      <sz val="9.5"/>
      <color rgb="FFFFFFFF"/>
      <name val="Calibri"/>
      <family val="2"/>
    </font>
    <font>
      <b/>
      <sz val="10.5"/>
      <color rgb="FF6B7280"/>
      <name val="Calibri"/>
      <family val="2"/>
    </font>
    <font>
      <b/>
      <sz val="9"/>
      <color rgb="FF6B7280"/>
      <name val="Calibri"/>
      <family val="2"/>
    </font>
    <font>
      <i/>
      <sz val="8.5"/>
      <color rgb="FF6B7280"/>
      <name val="Calibri"/>
      <family val="2"/>
    </font>
    <font>
      <sz val="8"/>
      <name val="Calibri"/>
      <family val="2"/>
      <scheme val="minor"/>
    </font>
    <font>
      <i/>
      <sz val="9"/>
      <color theme="1"/>
      <name val="Consolas"/>
      <family val="2"/>
    </font>
    <font>
      <sz val="9"/>
      <color theme="1"/>
      <name val="Calibri"/>
      <family val="2"/>
    </font>
    <font>
      <i/>
      <sz val="9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111827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F4F0E8"/>
      </patternFill>
    </fill>
    <fill>
      <patternFill patternType="solid">
        <fgColor rgb="FFE06666"/>
      </patternFill>
    </fill>
    <fill>
      <patternFill patternType="solid">
        <fgColor rgb="FF93C47D"/>
      </patternFill>
    </fill>
    <fill>
      <patternFill patternType="solid">
        <fgColor rgb="FF3C78D8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 indent="1"/>
    </xf>
    <xf numFmtId="0" fontId="10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/>
    </xf>
    <xf numFmtId="0" fontId="0" fillId="0" borderId="1" xfId="0" applyBorder="1"/>
    <xf numFmtId="0" fontId="15" fillId="11" borderId="3" xfId="0" applyFont="1" applyFill="1" applyBorder="1" applyAlignment="1">
      <alignment vertical="top"/>
    </xf>
    <xf numFmtId="0" fontId="15" fillId="12" borderId="3" xfId="0" applyFont="1" applyFill="1" applyBorder="1" applyAlignment="1">
      <alignment vertical="top"/>
    </xf>
    <xf numFmtId="0" fontId="16" fillId="0" borderId="3" xfId="0" applyFont="1" applyBorder="1" applyAlignment="1">
      <alignment vertical="top"/>
    </xf>
    <xf numFmtId="0" fontId="17" fillId="0" borderId="3" xfId="0" applyFont="1" applyBorder="1" applyAlignment="1">
      <alignment vertical="top"/>
    </xf>
    <xf numFmtId="0" fontId="18" fillId="0" borderId="3" xfId="0" applyFont="1" applyBorder="1" applyAlignment="1">
      <alignment vertical="top"/>
    </xf>
    <xf numFmtId="0" fontId="19" fillId="5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left" vertical="center"/>
    </xf>
    <xf numFmtId="164" fontId="26" fillId="5" borderId="5" xfId="0" applyNumberFormat="1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 wrapText="1"/>
    </xf>
    <xf numFmtId="164" fontId="6" fillId="6" borderId="5" xfId="0" applyNumberFormat="1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164" fontId="6" fillId="5" borderId="5" xfId="0" applyNumberFormat="1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 wrapText="1" indent="1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8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/>
    </xf>
    <xf numFmtId="0" fontId="0" fillId="0" borderId="4" xfId="0" applyBorder="1"/>
    <xf numFmtId="0" fontId="12" fillId="4" borderId="0" xfId="0" applyFont="1" applyFill="1" applyAlignment="1">
      <alignment horizontal="left" vertical="center" indent="1"/>
    </xf>
    <xf numFmtId="0" fontId="14" fillId="7" borderId="1" xfId="0" applyFont="1" applyFill="1" applyBorder="1" applyAlignment="1">
      <alignment horizontal="left" vertical="center"/>
    </xf>
    <xf numFmtId="0" fontId="24" fillId="3" borderId="0" xfId="0" applyFont="1" applyFill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 indent="1"/>
    </xf>
    <xf numFmtId="0" fontId="20" fillId="13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left" vertical="center"/>
    </xf>
    <xf numFmtId="0" fontId="31" fillId="5" borderId="1" xfId="0" applyFont="1" applyFill="1" applyBorder="1" applyAlignment="1">
      <alignment horizontal="left" vertical="center"/>
    </xf>
    <xf numFmtId="0" fontId="3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rgb="FF3C78D8"/>
        </patternFill>
      </fill>
    </dxf>
    <dxf>
      <fill>
        <patternFill patternType="solid">
          <fgColor rgb="FF93C47D"/>
        </patternFill>
      </fill>
    </dxf>
    <dxf>
      <fill>
        <patternFill patternType="solid">
          <fgColor rgb="FFE06666"/>
        </patternFill>
      </fill>
    </dxf>
    <dxf>
      <fill>
        <patternFill patternType="solid">
          <fgColor rgb="FF3C78D8"/>
        </patternFill>
      </fill>
    </dxf>
    <dxf>
      <fill>
        <patternFill patternType="solid">
          <fgColor rgb="FF93C47D"/>
        </patternFill>
      </fill>
    </dxf>
    <dxf>
      <fill>
        <patternFill patternType="solid">
          <fgColor rgb="FFE06666"/>
        </patternFill>
      </fill>
    </dxf>
    <dxf>
      <fill>
        <patternFill patternType="solid">
          <fgColor rgb="FF3C78D8"/>
        </patternFill>
      </fill>
    </dxf>
    <dxf>
      <fill>
        <patternFill patternType="solid">
          <fgColor rgb="FF93C47D"/>
        </patternFill>
      </fill>
    </dxf>
    <dxf>
      <fill>
        <patternFill patternType="solid">
          <fgColor rgb="FFE06666"/>
        </patternFill>
      </fill>
    </dxf>
    <dxf>
      <fill>
        <patternFill patternType="solid">
          <fgColor rgb="FF3C78D8"/>
        </patternFill>
      </fill>
    </dxf>
    <dxf>
      <fill>
        <patternFill patternType="solid">
          <fgColor rgb="FF93C47D"/>
        </patternFill>
      </fill>
    </dxf>
    <dxf>
      <fill>
        <patternFill patternType="solid">
          <fgColor rgb="FFE0666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7"/>
  <sheetViews>
    <sheetView showGridLines="0" workbookViewId="0">
      <pane ySplit="5" topLeftCell="A9" activePane="bottomLeft" state="frozen"/>
      <selection pane="bottomLeft" sqref="A1:K1"/>
    </sheetView>
  </sheetViews>
  <sheetFormatPr baseColWidth="10" defaultColWidth="8.83203125" defaultRowHeight="15"/>
  <cols>
    <col min="1" max="1" width="5" customWidth="1"/>
    <col min="2" max="2" width="20" customWidth="1"/>
    <col min="3" max="3" width="14" customWidth="1"/>
    <col min="4" max="5" width="9" customWidth="1"/>
    <col min="6" max="6" width="6" customWidth="1"/>
    <col min="7" max="7" width="9" customWidth="1"/>
    <col min="8" max="8" width="30" customWidth="1"/>
    <col min="9" max="9" width="2.5" customWidth="1"/>
    <col min="10" max="10" width="13" customWidth="1"/>
    <col min="11" max="11" width="15" customWidth="1"/>
    <col min="12" max="12" width="18" customWidth="1"/>
    <col min="13" max="13" width="2" customWidth="1"/>
    <col min="14" max="14" width="5" customWidth="1"/>
    <col min="15" max="15" width="6" customWidth="1"/>
    <col min="16" max="16" width="18" customWidth="1"/>
    <col min="17" max="17" width="2" customWidth="1"/>
    <col min="18" max="18" width="5" customWidth="1"/>
    <col min="19" max="19" width="6" customWidth="1"/>
    <col min="20" max="20" width="18" customWidth="1"/>
    <col min="22" max="22" width="1" hidden="1" customWidth="1"/>
  </cols>
  <sheetData>
    <row r="1" spans="1:22" ht="26" customHeight="1">
      <c r="A1" s="62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22" ht="16" customHeight="1">
      <c r="A2" s="1" t="s">
        <v>1</v>
      </c>
      <c r="B2" s="2"/>
      <c r="C2" s="1" t="s">
        <v>2</v>
      </c>
      <c r="D2" s="2"/>
      <c r="E2" s="2"/>
      <c r="F2" s="1" t="s">
        <v>3</v>
      </c>
      <c r="G2" s="2"/>
      <c r="H2" s="1" t="s">
        <v>4</v>
      </c>
      <c r="I2" s="2"/>
      <c r="J2" s="1" t="s">
        <v>5</v>
      </c>
      <c r="K2" s="2"/>
    </row>
    <row r="3" spans="1:22" ht="22" customHeight="1">
      <c r="A3" s="57" t="s">
        <v>6</v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22" ht="4" customHeight="1"/>
    <row r="5" spans="1:22" ht="18" customHeight="1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J5" s="59" t="s">
        <v>15</v>
      </c>
      <c r="K5" s="60"/>
    </row>
    <row r="6" spans="1:22" ht="15" customHeight="1">
      <c r="A6" s="30" t="s">
        <v>16</v>
      </c>
      <c r="B6" s="5" t="s">
        <v>17</v>
      </c>
      <c r="C6" s="5" t="s">
        <v>18</v>
      </c>
      <c r="D6" s="4" t="s">
        <v>19</v>
      </c>
      <c r="E6" s="30" t="s">
        <v>20</v>
      </c>
      <c r="F6" s="4" t="s">
        <v>21</v>
      </c>
      <c r="G6" s="5" t="s">
        <v>22</v>
      </c>
      <c r="H6" s="6" t="s">
        <v>23</v>
      </c>
      <c r="J6" s="7" t="s">
        <v>24</v>
      </c>
      <c r="K6" s="8"/>
      <c r="V6" t="str">
        <f t="shared" ref="V6:V37" si="0">IF(OR($D6="",$E6=""),"",$D6&amp;"-"&amp;$E6)</f>
        <v>Red-3</v>
      </c>
    </row>
    <row r="7" spans="1:22" ht="15" customHeight="1">
      <c r="A7" s="31">
        <v>2</v>
      </c>
      <c r="B7" s="10"/>
      <c r="C7" s="10"/>
      <c r="D7" s="9"/>
      <c r="E7" s="31"/>
      <c r="F7" s="9"/>
      <c r="G7" s="10"/>
      <c r="H7" s="11"/>
      <c r="J7" s="7" t="s">
        <v>25</v>
      </c>
      <c r="K7" s="8"/>
      <c r="V7" t="str">
        <f t="shared" si="0"/>
        <v/>
      </c>
    </row>
    <row r="8" spans="1:22" ht="15" customHeight="1">
      <c r="A8" s="32">
        <v>3</v>
      </c>
      <c r="B8" s="13"/>
      <c r="C8" s="13"/>
      <c r="D8" s="12"/>
      <c r="E8" s="32"/>
      <c r="F8" s="12"/>
      <c r="G8" s="13"/>
      <c r="H8" s="14"/>
      <c r="J8" s="7" t="s">
        <v>26</v>
      </c>
      <c r="K8" s="8"/>
      <c r="V8" t="str">
        <f t="shared" si="0"/>
        <v/>
      </c>
    </row>
    <row r="9" spans="1:22" ht="15" customHeight="1">
      <c r="A9" s="31">
        <v>4</v>
      </c>
      <c r="B9" s="10"/>
      <c r="C9" s="10"/>
      <c r="D9" s="9"/>
      <c r="E9" s="31"/>
      <c r="F9" s="9"/>
      <c r="G9" s="10"/>
      <c r="H9" s="11"/>
      <c r="J9" s="7" t="s">
        <v>27</v>
      </c>
      <c r="K9" s="8"/>
      <c r="V9" t="str">
        <f t="shared" si="0"/>
        <v/>
      </c>
    </row>
    <row r="10" spans="1:22" ht="15" customHeight="1">
      <c r="A10" s="32">
        <v>5</v>
      </c>
      <c r="B10" s="13"/>
      <c r="C10" s="13"/>
      <c r="D10" s="12"/>
      <c r="E10" s="32"/>
      <c r="F10" s="12"/>
      <c r="G10" s="13"/>
      <c r="H10" s="14"/>
      <c r="J10" s="7" t="s">
        <v>28</v>
      </c>
      <c r="K10" s="8"/>
      <c r="V10" t="str">
        <f t="shared" si="0"/>
        <v/>
      </c>
    </row>
    <row r="11" spans="1:22" ht="15" customHeight="1">
      <c r="A11" s="31">
        <v>6</v>
      </c>
      <c r="B11" s="10"/>
      <c r="C11" s="10"/>
      <c r="D11" s="9"/>
      <c r="E11" s="31"/>
      <c r="F11" s="9"/>
      <c r="G11" s="10"/>
      <c r="H11" s="11"/>
      <c r="J11" s="7" t="s">
        <v>29</v>
      </c>
      <c r="K11" s="8"/>
      <c r="V11" t="str">
        <f t="shared" si="0"/>
        <v/>
      </c>
    </row>
    <row r="12" spans="1:22" ht="15" customHeight="1">
      <c r="A12" s="32">
        <v>7</v>
      </c>
      <c r="B12" s="13"/>
      <c r="C12" s="13"/>
      <c r="D12" s="12"/>
      <c r="E12" s="32"/>
      <c r="F12" s="12"/>
      <c r="G12" s="13"/>
      <c r="H12" s="14"/>
      <c r="V12" t="str">
        <f t="shared" si="0"/>
        <v/>
      </c>
    </row>
    <row r="13" spans="1:22" ht="16" customHeight="1">
      <c r="A13" s="31">
        <v>8</v>
      </c>
      <c r="B13" s="10"/>
      <c r="C13" s="10"/>
      <c r="D13" s="9"/>
      <c r="E13" s="31"/>
      <c r="F13" s="9"/>
      <c r="G13" s="10"/>
      <c r="H13" s="11"/>
      <c r="J13" s="63" t="s">
        <v>30</v>
      </c>
      <c r="K13" s="64"/>
      <c r="L13" s="64"/>
      <c r="M13" s="64"/>
      <c r="N13" s="64"/>
      <c r="O13" s="64"/>
      <c r="P13" s="64"/>
      <c r="Q13" s="64"/>
      <c r="R13" s="64"/>
      <c r="S13" s="64"/>
      <c r="T13" s="60"/>
      <c r="V13" t="str">
        <f t="shared" si="0"/>
        <v/>
      </c>
    </row>
    <row r="14" spans="1:22" ht="15" customHeight="1">
      <c r="A14" s="32">
        <v>9</v>
      </c>
      <c r="B14" s="13"/>
      <c r="C14" s="13"/>
      <c r="D14" s="12"/>
      <c r="E14" s="32"/>
      <c r="F14" s="12"/>
      <c r="G14" s="13"/>
      <c r="H14" s="14"/>
      <c r="J14" s="36" t="s">
        <v>31</v>
      </c>
      <c r="K14" s="36" t="s">
        <v>7</v>
      </c>
      <c r="L14" s="37" t="s">
        <v>8</v>
      </c>
      <c r="N14" s="38" t="s">
        <v>31</v>
      </c>
      <c r="O14" s="38" t="s">
        <v>7</v>
      </c>
      <c r="P14" s="39" t="s">
        <v>8</v>
      </c>
      <c r="R14" s="40" t="s">
        <v>31</v>
      </c>
      <c r="S14" s="40" t="s">
        <v>7</v>
      </c>
      <c r="T14" s="41" t="s">
        <v>8</v>
      </c>
      <c r="V14" t="str">
        <f t="shared" si="0"/>
        <v/>
      </c>
    </row>
    <row r="15" spans="1:22" ht="15" customHeight="1">
      <c r="A15" s="31">
        <v>10</v>
      </c>
      <c r="B15" s="10"/>
      <c r="C15" s="10"/>
      <c r="D15" s="9"/>
      <c r="E15" s="31"/>
      <c r="F15" s="9"/>
      <c r="G15" s="10"/>
      <c r="H15" s="11"/>
      <c r="J15" s="12">
        <v>1</v>
      </c>
      <c r="K15" s="12" t="str">
        <f t="shared" ref="K15:K30" si="1">IFERROR(INDEX($A$6:$A$37,MATCH("Red-"&amp;J15,$V$6:$V$37,0)),"")</f>
        <v/>
      </c>
      <c r="L15" s="13" t="str">
        <f t="shared" ref="L15:L30" si="2">IFERROR(INDEX($B$6:$B$37,MATCH("Red-"&amp;J15,$V$6:$V$37,0)),"")</f>
        <v/>
      </c>
      <c r="N15" s="12">
        <v>1</v>
      </c>
      <c r="O15" s="12" t="str">
        <f t="shared" ref="O15:O26" si="3">IFERROR(INDEX($A$6:$A$37,MATCH("Green-"&amp;N15,$V$6:$V$37,0)),"")</f>
        <v/>
      </c>
      <c r="P15" s="13" t="str">
        <f t="shared" ref="P15:P26" si="4">IFERROR(INDEX($B$6:$B$37,MATCH("Green-"&amp;N15,$V$6:$V$37,0)),"")</f>
        <v/>
      </c>
      <c r="R15" s="12">
        <v>1</v>
      </c>
      <c r="S15" s="12" t="str">
        <f t="shared" ref="S15:S26" si="5">IFERROR(INDEX($A$6:$A$37,MATCH("Blue-"&amp;R15,$V$6:$V$37,0)),"")</f>
        <v/>
      </c>
      <c r="T15" s="13" t="str">
        <f t="shared" ref="T15:T26" si="6">IFERROR(INDEX($B$6:$B$37,MATCH("Blue-"&amp;R15,$V$6:$V$37,0)),"")</f>
        <v/>
      </c>
      <c r="V15" t="str">
        <f t="shared" si="0"/>
        <v/>
      </c>
    </row>
    <row r="16" spans="1:22" ht="15" customHeight="1">
      <c r="A16" s="32">
        <v>11</v>
      </c>
      <c r="B16" s="13"/>
      <c r="C16" s="13"/>
      <c r="D16" s="12"/>
      <c r="E16" s="32"/>
      <c r="F16" s="12"/>
      <c r="G16" s="13"/>
      <c r="H16" s="14"/>
      <c r="J16" s="9">
        <v>2</v>
      </c>
      <c r="K16" s="9" t="str">
        <f t="shared" si="1"/>
        <v/>
      </c>
      <c r="L16" s="10" t="str">
        <f t="shared" si="2"/>
        <v/>
      </c>
      <c r="N16" s="9">
        <v>2</v>
      </c>
      <c r="O16" s="9" t="str">
        <f t="shared" si="3"/>
        <v/>
      </c>
      <c r="P16" s="10" t="str">
        <f t="shared" si="4"/>
        <v/>
      </c>
      <c r="R16" s="9">
        <v>2</v>
      </c>
      <c r="S16" s="9" t="str">
        <f t="shared" si="5"/>
        <v/>
      </c>
      <c r="T16" s="10" t="str">
        <f t="shared" si="6"/>
        <v/>
      </c>
      <c r="V16" t="str">
        <f t="shared" si="0"/>
        <v/>
      </c>
    </row>
    <row r="17" spans="1:22" ht="15" customHeight="1">
      <c r="A17" s="31">
        <v>12</v>
      </c>
      <c r="B17" s="10"/>
      <c r="C17" s="10"/>
      <c r="D17" s="9"/>
      <c r="E17" s="31"/>
      <c r="F17" s="9"/>
      <c r="G17" s="10"/>
      <c r="H17" s="11"/>
      <c r="J17" s="12">
        <v>3</v>
      </c>
      <c r="K17" s="12" t="str">
        <f t="shared" si="1"/>
        <v>1</v>
      </c>
      <c r="L17" s="13" t="str">
        <f t="shared" si="2"/>
        <v>Kick In</v>
      </c>
      <c r="N17" s="12">
        <v>3</v>
      </c>
      <c r="O17" s="12" t="str">
        <f t="shared" si="3"/>
        <v/>
      </c>
      <c r="P17" s="13" t="str">
        <f t="shared" si="4"/>
        <v/>
      </c>
      <c r="R17" s="12">
        <v>3</v>
      </c>
      <c r="S17" s="12" t="str">
        <f t="shared" si="5"/>
        <v/>
      </c>
      <c r="T17" s="13" t="str">
        <f t="shared" si="6"/>
        <v/>
      </c>
      <c r="V17" t="str">
        <f t="shared" si="0"/>
        <v/>
      </c>
    </row>
    <row r="18" spans="1:22" ht="15" customHeight="1">
      <c r="A18" s="32">
        <v>13</v>
      </c>
      <c r="B18" s="13"/>
      <c r="C18" s="13"/>
      <c r="D18" s="12"/>
      <c r="E18" s="32"/>
      <c r="F18" s="12"/>
      <c r="G18" s="13"/>
      <c r="H18" s="14"/>
      <c r="J18" s="9">
        <v>4</v>
      </c>
      <c r="K18" s="9" t="str">
        <f t="shared" si="1"/>
        <v/>
      </c>
      <c r="L18" s="10" t="str">
        <f t="shared" si="2"/>
        <v/>
      </c>
      <c r="N18" s="9">
        <v>4</v>
      </c>
      <c r="O18" s="9" t="str">
        <f t="shared" si="3"/>
        <v/>
      </c>
      <c r="P18" s="10" t="str">
        <f t="shared" si="4"/>
        <v/>
      </c>
      <c r="R18" s="9">
        <v>4</v>
      </c>
      <c r="S18" s="9" t="str">
        <f t="shared" si="5"/>
        <v/>
      </c>
      <c r="T18" s="10" t="str">
        <f t="shared" si="6"/>
        <v/>
      </c>
      <c r="V18" t="str">
        <f t="shared" si="0"/>
        <v/>
      </c>
    </row>
    <row r="19" spans="1:22" ht="15" customHeight="1">
      <c r="A19" s="31">
        <v>14</v>
      </c>
      <c r="B19" s="10"/>
      <c r="C19" s="10"/>
      <c r="D19" s="9"/>
      <c r="E19" s="31"/>
      <c r="F19" s="9"/>
      <c r="G19" s="10"/>
      <c r="H19" s="11"/>
      <c r="J19" s="12">
        <v>5</v>
      </c>
      <c r="K19" s="12" t="str">
        <f t="shared" si="1"/>
        <v/>
      </c>
      <c r="L19" s="13" t="str">
        <f t="shared" si="2"/>
        <v/>
      </c>
      <c r="N19" s="12">
        <v>5</v>
      </c>
      <c r="O19" s="12" t="str">
        <f t="shared" si="3"/>
        <v/>
      </c>
      <c r="P19" s="13" t="str">
        <f t="shared" si="4"/>
        <v/>
      </c>
      <c r="R19" s="12">
        <v>5</v>
      </c>
      <c r="S19" s="12" t="str">
        <f t="shared" si="5"/>
        <v/>
      </c>
      <c r="T19" s="13" t="str">
        <f t="shared" si="6"/>
        <v/>
      </c>
      <c r="V19" t="str">
        <f t="shared" si="0"/>
        <v/>
      </c>
    </row>
    <row r="20" spans="1:22" ht="15" customHeight="1">
      <c r="A20" s="32">
        <v>15</v>
      </c>
      <c r="B20" s="13"/>
      <c r="C20" s="13"/>
      <c r="D20" s="12"/>
      <c r="E20" s="32"/>
      <c r="F20" s="12"/>
      <c r="G20" s="13"/>
      <c r="H20" s="14"/>
      <c r="J20" s="9">
        <v>6</v>
      </c>
      <c r="K20" s="9" t="str">
        <f t="shared" si="1"/>
        <v/>
      </c>
      <c r="L20" s="10" t="str">
        <f t="shared" si="2"/>
        <v/>
      </c>
      <c r="N20" s="9">
        <v>6</v>
      </c>
      <c r="O20" s="9" t="str">
        <f t="shared" si="3"/>
        <v/>
      </c>
      <c r="P20" s="10" t="str">
        <f t="shared" si="4"/>
        <v/>
      </c>
      <c r="R20" s="9">
        <v>6</v>
      </c>
      <c r="S20" s="9" t="str">
        <f t="shared" si="5"/>
        <v/>
      </c>
      <c r="T20" s="10" t="str">
        <f t="shared" si="6"/>
        <v/>
      </c>
      <c r="V20" t="str">
        <f t="shared" si="0"/>
        <v/>
      </c>
    </row>
    <row r="21" spans="1:22" ht="15" customHeight="1">
      <c r="A21" s="31">
        <v>16</v>
      </c>
      <c r="B21" s="10"/>
      <c r="C21" s="10"/>
      <c r="D21" s="9"/>
      <c r="E21" s="31"/>
      <c r="F21" s="9"/>
      <c r="G21" s="10"/>
      <c r="H21" s="11"/>
      <c r="J21" s="12">
        <v>7</v>
      </c>
      <c r="K21" s="12" t="str">
        <f t="shared" si="1"/>
        <v/>
      </c>
      <c r="L21" s="13" t="str">
        <f t="shared" si="2"/>
        <v/>
      </c>
      <c r="N21" s="12">
        <v>7</v>
      </c>
      <c r="O21" s="12" t="str">
        <f t="shared" si="3"/>
        <v/>
      </c>
      <c r="P21" s="13" t="str">
        <f t="shared" si="4"/>
        <v/>
      </c>
      <c r="R21" s="12">
        <v>7</v>
      </c>
      <c r="S21" s="12" t="str">
        <f t="shared" si="5"/>
        <v/>
      </c>
      <c r="T21" s="13" t="str">
        <f t="shared" si="6"/>
        <v/>
      </c>
      <c r="V21" t="str">
        <f t="shared" si="0"/>
        <v/>
      </c>
    </row>
    <row r="22" spans="1:22" ht="15" customHeight="1">
      <c r="A22" s="32">
        <v>17</v>
      </c>
      <c r="B22" s="13"/>
      <c r="C22" s="13"/>
      <c r="D22" s="12"/>
      <c r="E22" s="32"/>
      <c r="F22" s="12"/>
      <c r="G22" s="13"/>
      <c r="H22" s="14"/>
      <c r="J22" s="9">
        <v>8</v>
      </c>
      <c r="K22" s="9" t="str">
        <f t="shared" si="1"/>
        <v/>
      </c>
      <c r="L22" s="10" t="str">
        <f t="shared" si="2"/>
        <v/>
      </c>
      <c r="N22" s="9">
        <v>8</v>
      </c>
      <c r="O22" s="9" t="str">
        <f t="shared" si="3"/>
        <v/>
      </c>
      <c r="P22" s="10" t="str">
        <f t="shared" si="4"/>
        <v/>
      </c>
      <c r="R22" s="9">
        <v>8</v>
      </c>
      <c r="S22" s="9" t="str">
        <f t="shared" si="5"/>
        <v/>
      </c>
      <c r="T22" s="10" t="str">
        <f t="shared" si="6"/>
        <v/>
      </c>
      <c r="V22" t="str">
        <f t="shared" si="0"/>
        <v/>
      </c>
    </row>
    <row r="23" spans="1:22" ht="15" customHeight="1">
      <c r="A23" s="31">
        <v>18</v>
      </c>
      <c r="B23" s="10"/>
      <c r="C23" s="10"/>
      <c r="D23" s="9"/>
      <c r="E23" s="31"/>
      <c r="F23" s="9"/>
      <c r="G23" s="10"/>
      <c r="H23" s="11"/>
      <c r="J23" s="12">
        <v>9</v>
      </c>
      <c r="K23" s="12" t="str">
        <f t="shared" si="1"/>
        <v/>
      </c>
      <c r="L23" s="13" t="str">
        <f t="shared" si="2"/>
        <v/>
      </c>
      <c r="N23" s="12">
        <v>9</v>
      </c>
      <c r="O23" s="12" t="str">
        <f t="shared" si="3"/>
        <v/>
      </c>
      <c r="P23" s="13" t="str">
        <f t="shared" si="4"/>
        <v/>
      </c>
      <c r="R23" s="12">
        <v>9</v>
      </c>
      <c r="S23" s="12" t="str">
        <f t="shared" si="5"/>
        <v/>
      </c>
      <c r="T23" s="13" t="str">
        <f t="shared" si="6"/>
        <v/>
      </c>
      <c r="V23" t="str">
        <f t="shared" si="0"/>
        <v/>
      </c>
    </row>
    <row r="24" spans="1:22" ht="15" customHeight="1">
      <c r="A24" s="32">
        <v>19</v>
      </c>
      <c r="B24" s="13"/>
      <c r="C24" s="13"/>
      <c r="D24" s="12"/>
      <c r="E24" s="32"/>
      <c r="F24" s="12"/>
      <c r="G24" s="13"/>
      <c r="H24" s="14"/>
      <c r="J24" s="9">
        <v>10</v>
      </c>
      <c r="K24" s="9" t="str">
        <f t="shared" si="1"/>
        <v/>
      </c>
      <c r="L24" s="10" t="str">
        <f t="shared" si="2"/>
        <v/>
      </c>
      <c r="N24" s="9">
        <v>10</v>
      </c>
      <c r="O24" s="9" t="str">
        <f t="shared" si="3"/>
        <v/>
      </c>
      <c r="P24" s="10" t="str">
        <f t="shared" si="4"/>
        <v/>
      </c>
      <c r="R24" s="9">
        <v>10</v>
      </c>
      <c r="S24" s="9" t="str">
        <f t="shared" si="5"/>
        <v/>
      </c>
      <c r="T24" s="10" t="str">
        <f t="shared" si="6"/>
        <v/>
      </c>
      <c r="V24" t="str">
        <f t="shared" si="0"/>
        <v/>
      </c>
    </row>
    <row r="25" spans="1:22" ht="15" customHeight="1">
      <c r="A25" s="31">
        <v>20</v>
      </c>
      <c r="B25" s="10"/>
      <c r="C25" s="10"/>
      <c r="D25" s="9"/>
      <c r="E25" s="31"/>
      <c r="F25" s="9"/>
      <c r="G25" s="10"/>
      <c r="H25" s="11"/>
      <c r="J25" s="12">
        <v>11</v>
      </c>
      <c r="K25" s="12" t="str">
        <f t="shared" si="1"/>
        <v/>
      </c>
      <c r="L25" s="13" t="str">
        <f t="shared" si="2"/>
        <v/>
      </c>
      <c r="N25" s="12">
        <v>11</v>
      </c>
      <c r="O25" s="12" t="str">
        <f t="shared" si="3"/>
        <v/>
      </c>
      <c r="P25" s="13" t="str">
        <f t="shared" si="4"/>
        <v/>
      </c>
      <c r="R25" s="12">
        <v>11</v>
      </c>
      <c r="S25" s="12" t="str">
        <f t="shared" si="5"/>
        <v/>
      </c>
      <c r="T25" s="13" t="str">
        <f t="shared" si="6"/>
        <v/>
      </c>
      <c r="V25" t="str">
        <f t="shared" si="0"/>
        <v/>
      </c>
    </row>
    <row r="26" spans="1:22" ht="15" customHeight="1">
      <c r="A26" s="32">
        <v>21</v>
      </c>
      <c r="B26" s="13"/>
      <c r="C26" s="13"/>
      <c r="D26" s="12"/>
      <c r="E26" s="32"/>
      <c r="F26" s="12"/>
      <c r="G26" s="13"/>
      <c r="H26" s="14"/>
      <c r="J26" s="9">
        <v>12</v>
      </c>
      <c r="K26" s="9" t="str">
        <f t="shared" si="1"/>
        <v/>
      </c>
      <c r="L26" s="10" t="str">
        <f t="shared" si="2"/>
        <v/>
      </c>
      <c r="N26" s="9">
        <v>12</v>
      </c>
      <c r="O26" s="9" t="str">
        <f t="shared" si="3"/>
        <v/>
      </c>
      <c r="P26" s="10" t="str">
        <f t="shared" si="4"/>
        <v/>
      </c>
      <c r="R26" s="9">
        <v>12</v>
      </c>
      <c r="S26" s="9" t="str">
        <f t="shared" si="5"/>
        <v/>
      </c>
      <c r="T26" s="10" t="str">
        <f t="shared" si="6"/>
        <v/>
      </c>
      <c r="V26" t="str">
        <f t="shared" si="0"/>
        <v/>
      </c>
    </row>
    <row r="27" spans="1:22" ht="15" customHeight="1">
      <c r="A27" s="31">
        <v>22</v>
      </c>
      <c r="B27" s="10"/>
      <c r="C27" s="10"/>
      <c r="D27" s="9"/>
      <c r="E27" s="31"/>
      <c r="F27" s="9"/>
      <c r="G27" s="10"/>
      <c r="H27" s="11"/>
      <c r="J27" s="12">
        <v>13</v>
      </c>
      <c r="K27" s="12" t="str">
        <f t="shared" si="1"/>
        <v/>
      </c>
      <c r="L27" s="13" t="str">
        <f t="shared" si="2"/>
        <v/>
      </c>
      <c r="V27" t="str">
        <f t="shared" si="0"/>
        <v/>
      </c>
    </row>
    <row r="28" spans="1:22" ht="15" customHeight="1">
      <c r="A28" s="32">
        <v>23</v>
      </c>
      <c r="B28" s="13"/>
      <c r="C28" s="13"/>
      <c r="D28" s="12"/>
      <c r="E28" s="32"/>
      <c r="F28" s="12"/>
      <c r="G28" s="13"/>
      <c r="H28" s="14"/>
      <c r="J28" s="9">
        <v>14</v>
      </c>
      <c r="K28" s="9" t="str">
        <f t="shared" si="1"/>
        <v/>
      </c>
      <c r="L28" s="10" t="str">
        <f t="shared" si="2"/>
        <v/>
      </c>
      <c r="V28" t="str">
        <f t="shared" si="0"/>
        <v/>
      </c>
    </row>
    <row r="29" spans="1:22" ht="15" customHeight="1">
      <c r="A29" s="31">
        <v>24</v>
      </c>
      <c r="B29" s="10"/>
      <c r="C29" s="10"/>
      <c r="D29" s="9"/>
      <c r="E29" s="31"/>
      <c r="F29" s="9"/>
      <c r="G29" s="10"/>
      <c r="H29" s="11"/>
      <c r="J29" s="12">
        <v>15</v>
      </c>
      <c r="K29" s="12" t="str">
        <f t="shared" si="1"/>
        <v/>
      </c>
      <c r="L29" s="13" t="str">
        <f t="shared" si="2"/>
        <v/>
      </c>
      <c r="V29" t="str">
        <f t="shared" si="0"/>
        <v/>
      </c>
    </row>
    <row r="30" spans="1:22" ht="15" customHeight="1">
      <c r="A30" s="32">
        <v>25</v>
      </c>
      <c r="B30" s="13"/>
      <c r="C30" s="13"/>
      <c r="D30" s="12"/>
      <c r="E30" s="32"/>
      <c r="F30" s="12"/>
      <c r="G30" s="13"/>
      <c r="H30" s="14"/>
      <c r="J30" s="9">
        <v>16</v>
      </c>
      <c r="K30" s="9" t="str">
        <f t="shared" si="1"/>
        <v/>
      </c>
      <c r="L30" s="10" t="str">
        <f t="shared" si="2"/>
        <v/>
      </c>
      <c r="V30" t="str">
        <f t="shared" si="0"/>
        <v/>
      </c>
    </row>
    <row r="31" spans="1:22" ht="15" customHeight="1">
      <c r="A31" s="31">
        <v>26</v>
      </c>
      <c r="B31" s="10"/>
      <c r="C31" s="10"/>
      <c r="D31" s="9"/>
      <c r="E31" s="31"/>
      <c r="F31" s="9"/>
      <c r="G31" s="10"/>
      <c r="H31" s="11"/>
      <c r="V31" t="str">
        <f t="shared" si="0"/>
        <v/>
      </c>
    </row>
    <row r="32" spans="1:22" ht="15" customHeight="1">
      <c r="A32" s="32">
        <v>27</v>
      </c>
      <c r="B32" s="13"/>
      <c r="C32" s="13"/>
      <c r="D32" s="12"/>
      <c r="E32" s="32"/>
      <c r="F32" s="12"/>
      <c r="G32" s="13"/>
      <c r="H32" s="14"/>
      <c r="J32" s="61" t="s">
        <v>32</v>
      </c>
      <c r="K32" s="58"/>
      <c r="L32" s="58"/>
      <c r="M32" s="58"/>
      <c r="N32" s="58"/>
      <c r="O32" s="58"/>
      <c r="P32" s="58"/>
      <c r="Q32" s="58"/>
      <c r="R32" s="58"/>
      <c r="S32" s="58"/>
      <c r="T32" s="58"/>
      <c r="V32" t="str">
        <f t="shared" si="0"/>
        <v/>
      </c>
    </row>
    <row r="33" spans="1:22" ht="15" customHeight="1">
      <c r="A33" s="31">
        <v>28</v>
      </c>
      <c r="B33" s="10"/>
      <c r="C33" s="10"/>
      <c r="D33" s="9"/>
      <c r="E33" s="31"/>
      <c r="F33" s="9"/>
      <c r="G33" s="10"/>
      <c r="H33" s="11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V33" t="str">
        <f t="shared" si="0"/>
        <v/>
      </c>
    </row>
    <row r="34" spans="1:22" ht="15" customHeight="1">
      <c r="A34" s="32">
        <v>29</v>
      </c>
      <c r="B34" s="13"/>
      <c r="C34" s="13"/>
      <c r="D34" s="12"/>
      <c r="E34" s="32"/>
      <c r="F34" s="12"/>
      <c r="G34" s="13"/>
      <c r="H34" s="14"/>
      <c r="V34" t="str">
        <f t="shared" si="0"/>
        <v/>
      </c>
    </row>
    <row r="35" spans="1:22" ht="15" customHeight="1">
      <c r="A35" s="31">
        <v>30</v>
      </c>
      <c r="B35" s="10"/>
      <c r="C35" s="10"/>
      <c r="D35" s="9"/>
      <c r="E35" s="31"/>
      <c r="F35" s="9"/>
      <c r="G35" s="10"/>
      <c r="H35" s="11"/>
      <c r="V35" t="str">
        <f t="shared" si="0"/>
        <v/>
      </c>
    </row>
    <row r="36" spans="1:22" ht="15" customHeight="1">
      <c r="A36" s="32">
        <v>31</v>
      </c>
      <c r="B36" s="13"/>
      <c r="C36" s="13"/>
      <c r="D36" s="12"/>
      <c r="E36" s="32"/>
      <c r="F36" s="12"/>
      <c r="G36" s="13"/>
      <c r="H36" s="14"/>
      <c r="V36" t="str">
        <f t="shared" si="0"/>
        <v/>
      </c>
    </row>
    <row r="37" spans="1:22" ht="15" customHeight="1">
      <c r="A37" s="31">
        <v>32</v>
      </c>
      <c r="B37" s="10"/>
      <c r="C37" s="10"/>
      <c r="D37" s="9"/>
      <c r="E37" s="31"/>
      <c r="F37" s="9"/>
      <c r="G37" s="10"/>
      <c r="H37" s="11"/>
      <c r="V37" t="str">
        <f t="shared" si="0"/>
        <v/>
      </c>
    </row>
  </sheetData>
  <mergeCells count="5">
    <mergeCell ref="A3:K3"/>
    <mergeCell ref="J5:K5"/>
    <mergeCell ref="J32:T33"/>
    <mergeCell ref="A1:K1"/>
    <mergeCell ref="J13:T13"/>
  </mergeCells>
  <conditionalFormatting sqref="D6:E37">
    <cfRule type="expression" dxfId="11" priority="1">
      <formula>$D6="Red"</formula>
    </cfRule>
    <cfRule type="expression" dxfId="10" priority="2">
      <formula>$D6="Green"</formula>
    </cfRule>
    <cfRule type="expression" dxfId="9" priority="3">
      <formula>$D6="Blue"</formula>
    </cfRule>
  </conditionalFormatting>
  <dataValidations count="3">
    <dataValidation type="list" allowBlank="1" errorTitle="Invalid zone" error="Choose Red, Green, or Blue" sqref="D6:D37" xr:uid="{00000000-0002-0000-0000-000000000000}">
      <formula1>"Red,Green,Blue"</formula1>
    </dataValidation>
    <dataValidation type="list" allowBlank="1" sqref="G6:G37" xr:uid="{00000000-0002-0000-0000-000001000000}">
      <formula1>"Short,Tall,Boom,Bar,Clip,DI,—"</formula1>
    </dataValidation>
    <dataValidation type="list" allowBlank="1" sqref="F6:F37" xr:uid="{00000000-0002-0000-0000-000002000000}">
      <formula1>"✓"</formula1>
    </dataValidation>
  </dataValidations>
  <pageMargins left="0.4" right="0.4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6"/>
  <sheetViews>
    <sheetView showGridLines="0" workbookViewId="0">
      <pane ySplit="4" topLeftCell="A5" activePane="bottomLeft" state="frozen"/>
      <selection pane="bottomLeft" activeCell="E7" sqref="E7"/>
    </sheetView>
  </sheetViews>
  <sheetFormatPr baseColWidth="10" defaultColWidth="8.83203125" defaultRowHeight="15"/>
  <cols>
    <col min="1" max="1" width="5" customWidth="1"/>
    <col min="2" max="2" width="19" customWidth="1"/>
    <col min="3" max="3" width="13" customWidth="1"/>
    <col min="4" max="4" width="2.6640625" customWidth="1"/>
    <col min="5" max="5" width="10" customWidth="1"/>
    <col min="6" max="6" width="6" customWidth="1"/>
    <col min="7" max="7" width="9" customWidth="1"/>
    <col min="8" max="8" width="22" customWidth="1"/>
    <col min="9" max="9" width="2.1640625" customWidth="1"/>
    <col min="10" max="10" width="5" customWidth="1"/>
    <col min="11" max="11" width="19" customWidth="1"/>
    <col min="12" max="12" width="13" customWidth="1"/>
    <col min="13" max="13" width="2.6640625" customWidth="1"/>
    <col min="14" max="14" width="10" customWidth="1"/>
    <col min="15" max="15" width="6" customWidth="1"/>
    <col min="16" max="16" width="9" customWidth="1"/>
    <col min="17" max="17" width="22" customWidth="1"/>
    <col min="18" max="19" width="1" hidden="1" customWidth="1"/>
    <col min="20" max="20" width="5" customWidth="1"/>
    <col min="21" max="21" width="19" customWidth="1"/>
    <col min="22" max="22" width="13" customWidth="1"/>
  </cols>
  <sheetData>
    <row r="1" spans="1:19" ht="30" customHeight="1">
      <c r="A1" s="71" t="s">
        <v>33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19" ht="20" customHeight="1">
      <c r="A2" s="15" t="s">
        <v>1</v>
      </c>
      <c r="B2" s="2"/>
      <c r="C2" s="15" t="s">
        <v>2</v>
      </c>
      <c r="D2" s="2"/>
      <c r="E2" s="2"/>
      <c r="F2" s="15" t="s">
        <v>3</v>
      </c>
      <c r="G2" s="2"/>
      <c r="H2" s="2"/>
      <c r="I2" s="2"/>
      <c r="J2" s="15" t="s">
        <v>4</v>
      </c>
      <c r="K2" s="2"/>
      <c r="L2" s="2"/>
      <c r="M2" s="2"/>
      <c r="N2" s="15" t="s">
        <v>5</v>
      </c>
      <c r="O2" s="2"/>
      <c r="P2" s="2"/>
      <c r="Q2" s="2"/>
    </row>
    <row r="3" spans="1:19" ht="30" customHeight="1">
      <c r="A3" s="67" t="s">
        <v>34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</row>
    <row r="4" spans="1:19" ht="22" customHeight="1">
      <c r="A4" s="16" t="s">
        <v>7</v>
      </c>
      <c r="B4" s="16" t="s">
        <v>8</v>
      </c>
      <c r="C4" s="16" t="s">
        <v>9</v>
      </c>
      <c r="D4" s="70" t="s">
        <v>35</v>
      </c>
      <c r="E4" s="60"/>
      <c r="F4" s="16" t="s">
        <v>12</v>
      </c>
      <c r="G4" s="16" t="s">
        <v>13</v>
      </c>
      <c r="H4" s="16" t="s">
        <v>14</v>
      </c>
      <c r="J4" s="16" t="s">
        <v>7</v>
      </c>
      <c r="K4" s="16" t="s">
        <v>8</v>
      </c>
      <c r="L4" s="16" t="s">
        <v>9</v>
      </c>
      <c r="M4" s="70" t="s">
        <v>35</v>
      </c>
      <c r="N4" s="60"/>
      <c r="O4" s="16" t="s">
        <v>12</v>
      </c>
      <c r="P4" s="16" t="s">
        <v>13</v>
      </c>
      <c r="Q4" s="16" t="s">
        <v>14</v>
      </c>
    </row>
    <row r="5" spans="1:19" ht="20" customHeight="1">
      <c r="A5" s="33" t="s">
        <v>16</v>
      </c>
      <c r="B5" s="42" t="s">
        <v>17</v>
      </c>
      <c r="C5" s="42">
        <v>52</v>
      </c>
      <c r="D5" s="43" t="s">
        <v>19</v>
      </c>
      <c r="E5" s="44" t="s">
        <v>215</v>
      </c>
      <c r="F5" s="45" t="s">
        <v>21</v>
      </c>
      <c r="G5" s="42" t="s">
        <v>22</v>
      </c>
      <c r="H5" s="46" t="s">
        <v>36</v>
      </c>
      <c r="J5" s="33" t="s">
        <v>37</v>
      </c>
      <c r="K5" s="42" t="s">
        <v>38</v>
      </c>
      <c r="L5" s="42" t="s">
        <v>39</v>
      </c>
      <c r="M5" s="43" t="s">
        <v>40</v>
      </c>
      <c r="N5" s="44" t="s">
        <v>41</v>
      </c>
      <c r="O5" s="45" t="s">
        <v>21</v>
      </c>
      <c r="P5" s="42" t="s">
        <v>42</v>
      </c>
      <c r="Q5" s="46" t="s">
        <v>36</v>
      </c>
      <c r="R5" t="str">
        <f t="shared" ref="R5:R20" si="0">IF(OR($D5="",$E5="",$E5="WIRELESS"),"",$D5&amp;"-"&amp;$E5)</f>
        <v>Red-R-1</v>
      </c>
      <c r="S5" t="str">
        <f t="shared" ref="S5:S20" si="1">IF(OR($M5="",$N5="",$N5="WIRELESS"),"",$M5&amp;"-"&amp;$N5)</f>
        <v>Blue-2</v>
      </c>
    </row>
    <row r="6" spans="1:19" ht="20" customHeight="1">
      <c r="A6" s="34">
        <v>2</v>
      </c>
      <c r="B6" s="18"/>
      <c r="C6" s="18"/>
      <c r="D6" s="47"/>
      <c r="E6" s="44" t="s">
        <v>216</v>
      </c>
      <c r="F6" s="17"/>
      <c r="G6" s="18"/>
      <c r="H6" s="19"/>
      <c r="J6" s="34">
        <v>18</v>
      </c>
      <c r="K6" s="18"/>
      <c r="L6" s="18"/>
      <c r="M6" s="47"/>
      <c r="N6" s="48"/>
      <c r="O6" s="17"/>
      <c r="P6" s="18"/>
      <c r="Q6" s="19"/>
      <c r="R6" t="str">
        <f t="shared" si="0"/>
        <v/>
      </c>
      <c r="S6" t="str">
        <f t="shared" si="1"/>
        <v/>
      </c>
    </row>
    <row r="7" spans="1:19" ht="20" customHeight="1">
      <c r="A7" s="35">
        <v>3</v>
      </c>
      <c r="B7" s="21"/>
      <c r="C7" s="21"/>
      <c r="D7" s="49" t="s">
        <v>19</v>
      </c>
      <c r="E7" s="44">
        <v>1</v>
      </c>
      <c r="F7" s="20"/>
      <c r="G7" s="21"/>
      <c r="H7" s="22"/>
      <c r="J7" s="35">
        <v>19</v>
      </c>
      <c r="K7" s="21"/>
      <c r="L7" s="21"/>
      <c r="M7" s="49"/>
      <c r="N7" s="50"/>
      <c r="O7" s="20"/>
      <c r="P7" s="21"/>
      <c r="Q7" s="22"/>
      <c r="R7" t="str">
        <f t="shared" si="0"/>
        <v>Red-1</v>
      </c>
      <c r="S7" t="str">
        <f t="shared" si="1"/>
        <v/>
      </c>
    </row>
    <row r="8" spans="1:19" ht="20" customHeight="1">
      <c r="A8" s="34">
        <v>4</v>
      </c>
      <c r="B8" s="18"/>
      <c r="C8" s="18"/>
      <c r="D8" s="47"/>
      <c r="E8" s="44" t="s">
        <v>217</v>
      </c>
      <c r="F8" s="17"/>
      <c r="G8" s="18"/>
      <c r="H8" s="19"/>
      <c r="J8" s="34">
        <v>20</v>
      </c>
      <c r="K8" s="18"/>
      <c r="L8" s="18"/>
      <c r="M8" s="47"/>
      <c r="N8" s="48"/>
      <c r="O8" s="17"/>
      <c r="P8" s="18"/>
      <c r="Q8" s="19"/>
      <c r="R8" t="str">
        <f t="shared" si="0"/>
        <v/>
      </c>
      <c r="S8" t="str">
        <f t="shared" si="1"/>
        <v/>
      </c>
    </row>
    <row r="9" spans="1:19" ht="20" customHeight="1">
      <c r="A9" s="35">
        <v>5</v>
      </c>
      <c r="B9" s="21"/>
      <c r="C9" s="21"/>
      <c r="D9" s="49"/>
      <c r="E9" s="44" t="s">
        <v>218</v>
      </c>
      <c r="F9" s="20"/>
      <c r="G9" s="21"/>
      <c r="H9" s="22"/>
      <c r="J9" s="35">
        <v>21</v>
      </c>
      <c r="K9" s="21"/>
      <c r="L9" s="21"/>
      <c r="M9" s="49"/>
      <c r="N9" s="50"/>
      <c r="O9" s="20"/>
      <c r="P9" s="21"/>
      <c r="Q9" s="22"/>
      <c r="R9" t="str">
        <f t="shared" si="0"/>
        <v/>
      </c>
      <c r="S9" t="str">
        <f t="shared" si="1"/>
        <v/>
      </c>
    </row>
    <row r="10" spans="1:19" ht="20" customHeight="1">
      <c r="A10" s="34">
        <v>6</v>
      </c>
      <c r="B10" s="18"/>
      <c r="C10" s="18"/>
      <c r="D10" s="47"/>
      <c r="E10" s="44" t="s">
        <v>219</v>
      </c>
      <c r="F10" s="17"/>
      <c r="G10" s="18"/>
      <c r="H10" s="19"/>
      <c r="J10" s="34">
        <v>22</v>
      </c>
      <c r="K10" s="18"/>
      <c r="L10" s="18"/>
      <c r="M10" s="47"/>
      <c r="N10" s="48"/>
      <c r="O10" s="17"/>
      <c r="P10" s="18"/>
      <c r="Q10" s="19"/>
      <c r="R10" t="str">
        <f t="shared" si="0"/>
        <v/>
      </c>
      <c r="S10" t="str">
        <f t="shared" si="1"/>
        <v/>
      </c>
    </row>
    <row r="11" spans="1:19" ht="20" customHeight="1">
      <c r="A11" s="35">
        <v>7</v>
      </c>
      <c r="B11" s="21"/>
      <c r="C11" s="21"/>
      <c r="D11" s="49"/>
      <c r="E11" s="44" t="s">
        <v>220</v>
      </c>
      <c r="F11" s="20"/>
      <c r="G11" s="21"/>
      <c r="H11" s="22"/>
      <c r="J11" s="35">
        <v>23</v>
      </c>
      <c r="K11" s="21"/>
      <c r="L11" s="21"/>
      <c r="M11" s="49"/>
      <c r="N11" s="50"/>
      <c r="O11" s="20"/>
      <c r="P11" s="21"/>
      <c r="Q11" s="22"/>
      <c r="R11" t="str">
        <f t="shared" si="0"/>
        <v/>
      </c>
      <c r="S11" t="str">
        <f t="shared" si="1"/>
        <v/>
      </c>
    </row>
    <row r="12" spans="1:19" ht="20" customHeight="1">
      <c r="A12" s="34">
        <v>8</v>
      </c>
      <c r="B12" s="18"/>
      <c r="C12" s="18"/>
      <c r="D12" s="47"/>
      <c r="E12" s="44" t="s">
        <v>221</v>
      </c>
      <c r="F12" s="17"/>
      <c r="G12" s="18"/>
      <c r="H12" s="19"/>
      <c r="J12" s="34">
        <v>24</v>
      </c>
      <c r="K12" s="18"/>
      <c r="L12" s="18"/>
      <c r="M12" s="47"/>
      <c r="N12" s="48"/>
      <c r="O12" s="17"/>
      <c r="P12" s="18"/>
      <c r="Q12" s="19"/>
      <c r="R12" t="str">
        <f t="shared" si="0"/>
        <v/>
      </c>
      <c r="S12" t="str">
        <f t="shared" si="1"/>
        <v/>
      </c>
    </row>
    <row r="13" spans="1:19" ht="20" customHeight="1">
      <c r="A13" s="35">
        <v>9</v>
      </c>
      <c r="B13" s="21"/>
      <c r="C13" s="21"/>
      <c r="D13" s="49"/>
      <c r="E13" s="44" t="s">
        <v>222</v>
      </c>
      <c r="F13" s="20"/>
      <c r="G13" s="21"/>
      <c r="H13" s="22"/>
      <c r="J13" s="35">
        <v>25</v>
      </c>
      <c r="K13" s="21"/>
      <c r="L13" s="21"/>
      <c r="M13" s="49"/>
      <c r="N13" s="50"/>
      <c r="O13" s="20"/>
      <c r="P13" s="21"/>
      <c r="Q13" s="22"/>
      <c r="R13" t="str">
        <f t="shared" si="0"/>
        <v/>
      </c>
      <c r="S13" t="str">
        <f t="shared" si="1"/>
        <v/>
      </c>
    </row>
    <row r="14" spans="1:19" ht="20" customHeight="1">
      <c r="A14" s="34">
        <v>10</v>
      </c>
      <c r="B14" s="18"/>
      <c r="C14" s="18"/>
      <c r="D14" s="47"/>
      <c r="E14" s="44" t="s">
        <v>209</v>
      </c>
      <c r="F14" s="17"/>
      <c r="G14" s="18"/>
      <c r="H14" s="19"/>
      <c r="J14" s="34">
        <v>26</v>
      </c>
      <c r="K14" s="18"/>
      <c r="L14" s="18"/>
      <c r="M14" s="47"/>
      <c r="N14" s="48"/>
      <c r="O14" s="17"/>
      <c r="P14" s="18"/>
      <c r="Q14" s="19"/>
      <c r="R14" t="str">
        <f t="shared" si="0"/>
        <v/>
      </c>
      <c r="S14" t="str">
        <f t="shared" si="1"/>
        <v/>
      </c>
    </row>
    <row r="15" spans="1:19" ht="20" customHeight="1">
      <c r="A15" s="35">
        <v>11</v>
      </c>
      <c r="B15" s="21"/>
      <c r="C15" s="21"/>
      <c r="D15" s="49"/>
      <c r="E15" s="44" t="s">
        <v>210</v>
      </c>
      <c r="F15" s="20"/>
      <c r="G15" s="21"/>
      <c r="H15" s="22"/>
      <c r="J15" s="35">
        <v>27</v>
      </c>
      <c r="K15" s="21"/>
      <c r="L15" s="21"/>
      <c r="M15" s="49"/>
      <c r="N15" s="50"/>
      <c r="O15" s="20"/>
      <c r="P15" s="21"/>
      <c r="Q15" s="22"/>
      <c r="R15" t="str">
        <f t="shared" si="0"/>
        <v/>
      </c>
      <c r="S15" t="str">
        <f t="shared" si="1"/>
        <v/>
      </c>
    </row>
    <row r="16" spans="1:19" ht="20" customHeight="1">
      <c r="A16" s="34">
        <v>12</v>
      </c>
      <c r="B16" s="18"/>
      <c r="C16" s="18"/>
      <c r="D16" s="47"/>
      <c r="E16" s="44" t="s">
        <v>211</v>
      </c>
      <c r="F16" s="17"/>
      <c r="G16" s="18"/>
      <c r="H16" s="19"/>
      <c r="J16" s="34">
        <v>28</v>
      </c>
      <c r="K16" s="18"/>
      <c r="L16" s="18"/>
      <c r="M16" s="47"/>
      <c r="N16" s="48"/>
      <c r="O16" s="17"/>
      <c r="P16" s="18"/>
      <c r="Q16" s="19"/>
      <c r="R16" t="str">
        <f t="shared" si="0"/>
        <v/>
      </c>
      <c r="S16" t="str">
        <f t="shared" si="1"/>
        <v/>
      </c>
    </row>
    <row r="17" spans="1:22" ht="20" customHeight="1">
      <c r="A17" s="35">
        <v>13</v>
      </c>
      <c r="B17" s="21"/>
      <c r="C17" s="21"/>
      <c r="D17" s="49"/>
      <c r="E17" s="44" t="s">
        <v>212</v>
      </c>
      <c r="F17" s="20"/>
      <c r="G17" s="21"/>
      <c r="H17" s="22"/>
      <c r="J17" s="35">
        <v>29</v>
      </c>
      <c r="K17" s="21"/>
      <c r="L17" s="21"/>
      <c r="M17" s="49"/>
      <c r="N17" s="50"/>
      <c r="O17" s="20"/>
      <c r="P17" s="21"/>
      <c r="Q17" s="22"/>
      <c r="R17" t="str">
        <f t="shared" si="0"/>
        <v/>
      </c>
      <c r="S17" t="str">
        <f t="shared" si="1"/>
        <v/>
      </c>
    </row>
    <row r="18" spans="1:22" ht="20" customHeight="1">
      <c r="A18" s="34">
        <v>14</v>
      </c>
      <c r="B18" s="18"/>
      <c r="C18" s="18"/>
      <c r="D18" s="47"/>
      <c r="E18" s="44" t="s">
        <v>213</v>
      </c>
      <c r="F18" s="17"/>
      <c r="G18" s="18"/>
      <c r="H18" s="19"/>
      <c r="J18" s="34">
        <v>30</v>
      </c>
      <c r="K18" s="18"/>
      <c r="L18" s="18"/>
      <c r="M18" s="47"/>
      <c r="N18" s="48"/>
      <c r="O18" s="17"/>
      <c r="P18" s="18"/>
      <c r="Q18" s="19"/>
      <c r="R18" t="str">
        <f t="shared" si="0"/>
        <v/>
      </c>
      <c r="S18" t="str">
        <f t="shared" si="1"/>
        <v/>
      </c>
    </row>
    <row r="19" spans="1:22" ht="20" customHeight="1">
      <c r="A19" s="35">
        <v>15</v>
      </c>
      <c r="B19" s="21"/>
      <c r="C19" s="21"/>
      <c r="D19" s="49"/>
      <c r="E19" s="50"/>
      <c r="F19" s="20"/>
      <c r="G19" s="21"/>
      <c r="H19" s="22"/>
      <c r="J19" s="35">
        <v>31</v>
      </c>
      <c r="K19" s="21"/>
      <c r="L19" s="21"/>
      <c r="M19" s="49"/>
      <c r="N19" s="50"/>
      <c r="O19" s="20"/>
      <c r="P19" s="21"/>
      <c r="Q19" s="22"/>
      <c r="R19" t="str">
        <f t="shared" si="0"/>
        <v/>
      </c>
      <c r="S19" t="str">
        <f t="shared" si="1"/>
        <v/>
      </c>
    </row>
    <row r="20" spans="1:22" ht="20" customHeight="1">
      <c r="A20" s="34">
        <v>16</v>
      </c>
      <c r="B20" s="18"/>
      <c r="C20" s="18"/>
      <c r="D20" s="47"/>
      <c r="E20" s="48"/>
      <c r="F20" s="17"/>
      <c r="G20" s="18"/>
      <c r="H20" s="19"/>
      <c r="J20" s="34">
        <v>32</v>
      </c>
      <c r="K20" s="18"/>
      <c r="L20" s="18"/>
      <c r="M20" s="47"/>
      <c r="N20" s="48"/>
      <c r="O20" s="17"/>
      <c r="P20" s="18"/>
      <c r="Q20" s="19"/>
      <c r="R20" t="str">
        <f t="shared" si="0"/>
        <v/>
      </c>
      <c r="S20" t="str">
        <f t="shared" si="1"/>
        <v/>
      </c>
    </row>
    <row r="22" spans="1:22" ht="22" customHeight="1">
      <c r="A22" s="65" t="s">
        <v>43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</row>
    <row r="23" spans="1:22" ht="26" customHeight="1">
      <c r="A23" s="23" t="s">
        <v>24</v>
      </c>
      <c r="B23" s="66"/>
      <c r="C23" s="58"/>
      <c r="G23" s="23" t="s">
        <v>25</v>
      </c>
      <c r="H23" s="66"/>
      <c r="I23" s="58"/>
      <c r="N23" s="23" t="s">
        <v>26</v>
      </c>
      <c r="O23" s="66"/>
      <c r="P23" s="58"/>
    </row>
    <row r="24" spans="1:22" ht="26" customHeight="1">
      <c r="A24" s="23" t="s">
        <v>27</v>
      </c>
      <c r="B24" s="66"/>
      <c r="C24" s="58"/>
      <c r="G24" s="23" t="s">
        <v>28</v>
      </c>
      <c r="H24" s="66"/>
      <c r="I24" s="58"/>
      <c r="N24" s="23" t="s">
        <v>29</v>
      </c>
      <c r="O24" s="66"/>
      <c r="P24" s="58"/>
    </row>
    <row r="26" spans="1:22" ht="18" customHeight="1">
      <c r="A26" s="68" t="s">
        <v>30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0"/>
    </row>
    <row r="27" spans="1:22">
      <c r="A27" s="51" t="s">
        <v>31</v>
      </c>
      <c r="B27" s="52" t="s">
        <v>8</v>
      </c>
      <c r="C27" s="52" t="s">
        <v>9</v>
      </c>
      <c r="J27" s="55" t="s">
        <v>31</v>
      </c>
      <c r="K27" s="56" t="s">
        <v>8</v>
      </c>
      <c r="L27" s="56" t="s">
        <v>9</v>
      </c>
      <c r="T27" s="53" t="s">
        <v>31</v>
      </c>
      <c r="U27" s="54" t="s">
        <v>8</v>
      </c>
      <c r="V27" s="54" t="s">
        <v>9</v>
      </c>
    </row>
    <row r="28" spans="1:22">
      <c r="A28" s="32">
        <v>1</v>
      </c>
      <c r="B28" s="13">
        <f t="shared" ref="B28:B43" si="2">IFERROR(INDEX($B$5:$B$20,MATCH("Red-"&amp;A28,$R$5:$R$20,0)),IFERROR(INDEX($K$5:$K$20,MATCH("Red-"&amp;A28,$S$5:$S$20,0)),""))</f>
        <v>0</v>
      </c>
      <c r="C28" s="13">
        <f t="shared" ref="C28:C43" si="3">IFERROR(INDEX($C$5:$C$20,MATCH("Red-"&amp;A28,$R$5:$R$20,0)),IFERROR(INDEX($L$5:$L$20,MATCH("Red-"&amp;A28,$S$5:$S$20,0)),""))</f>
        <v>0</v>
      </c>
      <c r="J28" s="32">
        <v>1</v>
      </c>
      <c r="K28" s="13" t="str">
        <f t="shared" ref="K28:K39" si="4">IFERROR(INDEX($B$5:$B$20,MATCH("Blue-"&amp;J28,$R$5:$R$20,0)),IFERROR(INDEX($K$5:$K$20,MATCH("Blue-"&amp;J28,$S$5:$S$20,0)),""))</f>
        <v/>
      </c>
      <c r="L28" s="13" t="str">
        <f t="shared" ref="L28:L39" si="5">IFERROR(INDEX($C$5:$C$20,MATCH("Blue-"&amp;J28,$R$5:$R$20,0)),IFERROR(INDEX($L$5:$L$20,MATCH("Blue-"&amp;J28,$S$5:$S$20,0)),""))</f>
        <v/>
      </c>
      <c r="T28" s="32">
        <v>1</v>
      </c>
      <c r="U28" s="13" t="str">
        <f t="shared" ref="U28:U39" si="6">IFERROR(INDEX($B$5:$B$20,MATCH("Green-"&amp;T28,$R$5:$R$20,0)),IFERROR(INDEX($K$5:$K$20,MATCH("Green-"&amp;T28,$S$5:$S$20,0)),""))</f>
        <v/>
      </c>
      <c r="V28" s="13" t="str">
        <f t="shared" ref="V28:V39" si="7">IFERROR(INDEX($C$5:$C$20,MATCH("Green-"&amp;T28,$R$5:$R$20,0)),IFERROR(INDEX($L$5:$L$20,MATCH("Green-"&amp;T28,$S$5:$S$20,0)),""))</f>
        <v/>
      </c>
    </row>
    <row r="29" spans="1:22">
      <c r="A29" s="31">
        <v>2</v>
      </c>
      <c r="B29" s="10" t="str">
        <f t="shared" si="2"/>
        <v/>
      </c>
      <c r="C29" s="10" t="str">
        <f t="shared" si="3"/>
        <v/>
      </c>
      <c r="J29" s="31">
        <v>2</v>
      </c>
      <c r="K29" s="10" t="str">
        <f t="shared" si="4"/>
        <v>Ovhd L</v>
      </c>
      <c r="L29" s="10" t="str">
        <f t="shared" si="5"/>
        <v>SR20</v>
      </c>
      <c r="T29" s="31">
        <v>2</v>
      </c>
      <c r="U29" s="10" t="str">
        <f t="shared" si="6"/>
        <v/>
      </c>
      <c r="V29" s="10" t="str">
        <f t="shared" si="7"/>
        <v/>
      </c>
    </row>
    <row r="30" spans="1:22">
      <c r="A30" s="32">
        <v>3</v>
      </c>
      <c r="B30" s="13" t="str">
        <f t="shared" si="2"/>
        <v/>
      </c>
      <c r="C30" s="13" t="str">
        <f t="shared" si="3"/>
        <v/>
      </c>
      <c r="J30" s="32">
        <v>3</v>
      </c>
      <c r="K30" s="13" t="str">
        <f t="shared" si="4"/>
        <v/>
      </c>
      <c r="L30" s="13" t="str">
        <f t="shared" si="5"/>
        <v/>
      </c>
      <c r="T30" s="32">
        <v>3</v>
      </c>
      <c r="U30" s="13" t="str">
        <f t="shared" si="6"/>
        <v/>
      </c>
      <c r="V30" s="13" t="str">
        <f t="shared" si="7"/>
        <v/>
      </c>
    </row>
    <row r="31" spans="1:22">
      <c r="A31" s="31">
        <v>4</v>
      </c>
      <c r="B31" s="10" t="str">
        <f t="shared" si="2"/>
        <v/>
      </c>
      <c r="C31" s="10" t="str">
        <f t="shared" si="3"/>
        <v/>
      </c>
      <c r="J31" s="31">
        <v>4</v>
      </c>
      <c r="K31" s="10" t="str">
        <f t="shared" si="4"/>
        <v/>
      </c>
      <c r="L31" s="10" t="str">
        <f t="shared" si="5"/>
        <v/>
      </c>
      <c r="T31" s="31">
        <v>4</v>
      </c>
      <c r="U31" s="10" t="str">
        <f t="shared" si="6"/>
        <v/>
      </c>
      <c r="V31" s="10" t="str">
        <f t="shared" si="7"/>
        <v/>
      </c>
    </row>
    <row r="32" spans="1:22">
      <c r="A32" s="32">
        <v>5</v>
      </c>
      <c r="B32" s="13" t="str">
        <f t="shared" si="2"/>
        <v/>
      </c>
      <c r="C32" s="13" t="str">
        <f t="shared" si="3"/>
        <v/>
      </c>
      <c r="J32" s="32">
        <v>5</v>
      </c>
      <c r="K32" s="13" t="str">
        <f t="shared" si="4"/>
        <v/>
      </c>
      <c r="L32" s="13" t="str">
        <f t="shared" si="5"/>
        <v/>
      </c>
      <c r="T32" s="32">
        <v>5</v>
      </c>
      <c r="U32" s="13" t="str">
        <f t="shared" si="6"/>
        <v/>
      </c>
      <c r="V32" s="13" t="str">
        <f t="shared" si="7"/>
        <v/>
      </c>
    </row>
    <row r="33" spans="1:22">
      <c r="A33" s="31">
        <v>6</v>
      </c>
      <c r="B33" s="10" t="str">
        <f t="shared" si="2"/>
        <v/>
      </c>
      <c r="C33" s="10" t="str">
        <f t="shared" si="3"/>
        <v/>
      </c>
      <c r="J33" s="31">
        <v>6</v>
      </c>
      <c r="K33" s="10" t="str">
        <f t="shared" si="4"/>
        <v/>
      </c>
      <c r="L33" s="10" t="str">
        <f t="shared" si="5"/>
        <v/>
      </c>
      <c r="T33" s="31">
        <v>6</v>
      </c>
      <c r="U33" s="10" t="str">
        <f t="shared" si="6"/>
        <v/>
      </c>
      <c r="V33" s="10" t="str">
        <f t="shared" si="7"/>
        <v/>
      </c>
    </row>
    <row r="34" spans="1:22">
      <c r="A34" s="32">
        <v>7</v>
      </c>
      <c r="B34" s="13" t="str">
        <f t="shared" si="2"/>
        <v/>
      </c>
      <c r="C34" s="13" t="str">
        <f t="shared" si="3"/>
        <v/>
      </c>
      <c r="J34" s="32">
        <v>7</v>
      </c>
      <c r="K34" s="13" t="str">
        <f t="shared" si="4"/>
        <v/>
      </c>
      <c r="L34" s="13" t="str">
        <f t="shared" si="5"/>
        <v/>
      </c>
      <c r="T34" s="32">
        <v>7</v>
      </c>
      <c r="U34" s="13" t="str">
        <f t="shared" si="6"/>
        <v/>
      </c>
      <c r="V34" s="13" t="str">
        <f t="shared" si="7"/>
        <v/>
      </c>
    </row>
    <row r="35" spans="1:22">
      <c r="A35" s="31">
        <v>8</v>
      </c>
      <c r="B35" s="10" t="str">
        <f t="shared" si="2"/>
        <v/>
      </c>
      <c r="C35" s="10" t="str">
        <f t="shared" si="3"/>
        <v/>
      </c>
      <c r="J35" s="31">
        <v>8</v>
      </c>
      <c r="K35" s="10" t="str">
        <f t="shared" si="4"/>
        <v/>
      </c>
      <c r="L35" s="10" t="str">
        <f t="shared" si="5"/>
        <v/>
      </c>
      <c r="T35" s="31">
        <v>8</v>
      </c>
      <c r="U35" s="10" t="str">
        <f t="shared" si="6"/>
        <v/>
      </c>
      <c r="V35" s="10" t="str">
        <f t="shared" si="7"/>
        <v/>
      </c>
    </row>
    <row r="36" spans="1:22">
      <c r="A36" s="32">
        <v>9</v>
      </c>
      <c r="B36" s="13" t="str">
        <f t="shared" si="2"/>
        <v/>
      </c>
      <c r="C36" s="13" t="str">
        <f t="shared" si="3"/>
        <v/>
      </c>
      <c r="J36" s="32">
        <v>9</v>
      </c>
      <c r="K36" s="13" t="str">
        <f t="shared" si="4"/>
        <v/>
      </c>
      <c r="L36" s="13" t="str">
        <f t="shared" si="5"/>
        <v/>
      </c>
      <c r="T36" s="32">
        <v>9</v>
      </c>
      <c r="U36" s="13" t="str">
        <f t="shared" si="6"/>
        <v/>
      </c>
      <c r="V36" s="13" t="str">
        <f t="shared" si="7"/>
        <v/>
      </c>
    </row>
    <row r="37" spans="1:22">
      <c r="A37" s="31">
        <v>10</v>
      </c>
      <c r="B37" s="10" t="str">
        <f t="shared" si="2"/>
        <v/>
      </c>
      <c r="C37" s="10" t="str">
        <f t="shared" si="3"/>
        <v/>
      </c>
      <c r="J37" s="31">
        <v>10</v>
      </c>
      <c r="K37" s="10" t="str">
        <f t="shared" si="4"/>
        <v/>
      </c>
      <c r="L37" s="10" t="str">
        <f t="shared" si="5"/>
        <v/>
      </c>
      <c r="T37" s="31">
        <v>10</v>
      </c>
      <c r="U37" s="10" t="str">
        <f t="shared" si="6"/>
        <v/>
      </c>
      <c r="V37" s="10" t="str">
        <f t="shared" si="7"/>
        <v/>
      </c>
    </row>
    <row r="38" spans="1:22">
      <c r="A38" s="32">
        <v>11</v>
      </c>
      <c r="B38" s="13" t="str">
        <f t="shared" si="2"/>
        <v/>
      </c>
      <c r="C38" s="13" t="str">
        <f t="shared" si="3"/>
        <v/>
      </c>
      <c r="J38" s="32">
        <v>11</v>
      </c>
      <c r="K38" s="13" t="str">
        <f t="shared" si="4"/>
        <v/>
      </c>
      <c r="L38" s="13" t="str">
        <f t="shared" si="5"/>
        <v/>
      </c>
      <c r="T38" s="32">
        <v>11</v>
      </c>
      <c r="U38" s="13" t="str">
        <f t="shared" si="6"/>
        <v/>
      </c>
      <c r="V38" s="13" t="str">
        <f t="shared" si="7"/>
        <v/>
      </c>
    </row>
    <row r="39" spans="1:22">
      <c r="A39" s="31">
        <v>12</v>
      </c>
      <c r="B39" s="10" t="str">
        <f t="shared" si="2"/>
        <v/>
      </c>
      <c r="C39" s="10" t="str">
        <f t="shared" si="3"/>
        <v/>
      </c>
      <c r="J39" s="31">
        <v>12</v>
      </c>
      <c r="K39" s="10" t="str">
        <f t="shared" si="4"/>
        <v/>
      </c>
      <c r="L39" s="10" t="str">
        <f t="shared" si="5"/>
        <v/>
      </c>
      <c r="T39" s="31">
        <v>12</v>
      </c>
      <c r="U39" s="10" t="str">
        <f t="shared" si="6"/>
        <v/>
      </c>
      <c r="V39" s="10" t="str">
        <f t="shared" si="7"/>
        <v/>
      </c>
    </row>
    <row r="40" spans="1:22">
      <c r="A40" s="32">
        <v>13</v>
      </c>
      <c r="B40" s="13" t="str">
        <f t="shared" si="2"/>
        <v/>
      </c>
      <c r="C40" s="13" t="str">
        <f t="shared" si="3"/>
        <v/>
      </c>
    </row>
    <row r="41" spans="1:22">
      <c r="A41" s="31">
        <v>14</v>
      </c>
      <c r="B41" s="10" t="str">
        <f t="shared" si="2"/>
        <v/>
      </c>
      <c r="C41" s="10" t="str">
        <f t="shared" si="3"/>
        <v/>
      </c>
    </row>
    <row r="42" spans="1:22">
      <c r="A42" s="32">
        <v>15</v>
      </c>
      <c r="B42" s="13" t="str">
        <f t="shared" si="2"/>
        <v/>
      </c>
      <c r="C42" s="13" t="str">
        <f t="shared" si="3"/>
        <v/>
      </c>
    </row>
    <row r="43" spans="1:22">
      <c r="A43" s="31">
        <v>16</v>
      </c>
      <c r="B43" s="10" t="str">
        <f t="shared" si="2"/>
        <v/>
      </c>
      <c r="C43" s="10" t="str">
        <f t="shared" si="3"/>
        <v/>
      </c>
    </row>
    <row r="45" spans="1:22">
      <c r="A45" s="69" t="s">
        <v>44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</row>
    <row r="46" spans="1:22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</row>
  </sheetData>
  <mergeCells count="13">
    <mergeCell ref="A1:Q1"/>
    <mergeCell ref="A26:Q26"/>
    <mergeCell ref="A45:Q46"/>
    <mergeCell ref="D4:E4"/>
    <mergeCell ref="H23:I23"/>
    <mergeCell ref="M4:N4"/>
    <mergeCell ref="A22:Q22"/>
    <mergeCell ref="B24:C24"/>
    <mergeCell ref="A3:Q3"/>
    <mergeCell ref="H24:I24"/>
    <mergeCell ref="O23:P23"/>
    <mergeCell ref="O24:P24"/>
    <mergeCell ref="B23:C23"/>
  </mergeCells>
  <phoneticPr fontId="28" type="noConversion"/>
  <conditionalFormatting sqref="D5:E20">
    <cfRule type="expression" dxfId="8" priority="1">
      <formula>$D5="Red"</formula>
    </cfRule>
    <cfRule type="expression" dxfId="7" priority="3">
      <formula>$D5="Green"</formula>
    </cfRule>
    <cfRule type="expression" dxfId="6" priority="5">
      <formula>$D5="Blue"</formula>
    </cfRule>
  </conditionalFormatting>
  <conditionalFormatting sqref="M5:N20">
    <cfRule type="expression" dxfId="5" priority="7">
      <formula>$M5="Red"</formula>
    </cfRule>
    <cfRule type="expression" dxfId="4" priority="9">
      <formula>$M5="Green"</formula>
    </cfRule>
    <cfRule type="expression" dxfId="3" priority="11">
      <formula>$M5="Blue"</formula>
    </cfRule>
  </conditionalFormatting>
  <dataValidations count="3">
    <dataValidation type="list" allowBlank="1" sqref="D5:D20 M5:M20" xr:uid="{00000000-0002-0000-0100-000000000000}">
      <formula1>"Red,Green,Blue"</formula1>
    </dataValidation>
    <dataValidation type="list" allowBlank="1" sqref="F5:F20 O5:O20" xr:uid="{00000000-0002-0000-0100-000002000000}">
      <formula1>"✓"</formula1>
    </dataValidation>
    <dataValidation type="list" allowBlank="1" sqref="G5:G20 P5:P20" xr:uid="{00000000-0002-0000-0100-000004000000}">
      <formula1>"Short,Tall,Boom,Bar,Clip,DI,—"</formula1>
    </dataValidation>
  </dataValidations>
  <pageMargins left="0.4" right="0.4" top="0.5" bottom="0.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37"/>
  <sheetViews>
    <sheetView showGridLines="0" tabSelected="1" zoomScale="120" zoomScaleNormal="120" workbookViewId="0">
      <pane xSplit="1" ySplit="5" topLeftCell="B6" activePane="bottomRight" state="frozen"/>
      <selection pane="topRight"/>
      <selection pane="bottomLeft"/>
      <selection pane="bottomRight" activeCell="G6" sqref="G6"/>
    </sheetView>
  </sheetViews>
  <sheetFormatPr baseColWidth="10" defaultColWidth="8.83203125" defaultRowHeight="15"/>
  <cols>
    <col min="1" max="1" width="3" customWidth="1"/>
    <col min="2" max="2" width="5" customWidth="1"/>
    <col min="3" max="3" width="20" customWidth="1"/>
    <col min="4" max="4" width="14" customWidth="1"/>
    <col min="5" max="5" width="10" customWidth="1"/>
    <col min="6" max="6" width="6" customWidth="1"/>
    <col min="7" max="7" width="11.1640625" customWidth="1"/>
    <col min="8" max="8" width="36" customWidth="1"/>
    <col min="9" max="9" width="2.5" customWidth="1"/>
    <col min="10" max="10" width="13" customWidth="1"/>
    <col min="11" max="11" width="15" customWidth="1"/>
    <col min="12" max="12" width="18" customWidth="1"/>
    <col min="13" max="13" width="2" customWidth="1"/>
    <col min="14" max="14" width="5" customWidth="1"/>
    <col min="15" max="15" width="6" customWidth="1"/>
    <col min="16" max="16" width="18" customWidth="1"/>
    <col min="17" max="17" width="2" customWidth="1"/>
    <col min="18" max="18" width="5" customWidth="1"/>
    <col min="19" max="19" width="6" customWidth="1"/>
    <col min="20" max="20" width="18" customWidth="1"/>
    <col min="23" max="23" width="1" hidden="1" customWidth="1"/>
  </cols>
  <sheetData>
    <row r="1" spans="1:23" ht="26" customHeight="1">
      <c r="A1" s="62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23" ht="16" customHeight="1">
      <c r="A2" s="2"/>
      <c r="B2" s="1" t="s">
        <v>1</v>
      </c>
      <c r="C2" s="2" t="s">
        <v>251</v>
      </c>
      <c r="D2" s="1" t="s">
        <v>2</v>
      </c>
      <c r="E2" s="2" t="s">
        <v>252</v>
      </c>
      <c r="F2" s="2"/>
      <c r="G2" s="1" t="s">
        <v>253</v>
      </c>
      <c r="H2" s="1" t="s">
        <v>254</v>
      </c>
      <c r="I2" s="2"/>
      <c r="J2" s="1" t="s">
        <v>255</v>
      </c>
      <c r="K2" s="2"/>
    </row>
    <row r="3" spans="1:23" ht="22" customHeight="1">
      <c r="A3" s="57" t="s">
        <v>45</v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23" ht="4" customHeight="1"/>
    <row r="5" spans="1:23" ht="18" customHeight="1">
      <c r="A5" s="3"/>
      <c r="B5" s="3" t="s">
        <v>7</v>
      </c>
      <c r="C5" s="3" t="s">
        <v>8</v>
      </c>
      <c r="D5" s="3" t="s">
        <v>9</v>
      </c>
      <c r="E5" s="3" t="s">
        <v>35</v>
      </c>
      <c r="F5" s="3" t="s">
        <v>12</v>
      </c>
      <c r="G5" s="3" t="s">
        <v>13</v>
      </c>
      <c r="H5" s="3" t="s">
        <v>14</v>
      </c>
      <c r="J5" s="59" t="s">
        <v>15</v>
      </c>
      <c r="K5" s="60"/>
    </row>
    <row r="6" spans="1:23" ht="15" customHeight="1">
      <c r="A6" s="24"/>
      <c r="B6" s="30" t="s">
        <v>16</v>
      </c>
      <c r="C6" s="75" t="s">
        <v>17</v>
      </c>
      <c r="D6" s="76">
        <v>52</v>
      </c>
      <c r="E6" s="74" t="s">
        <v>201</v>
      </c>
      <c r="F6" s="77" t="s">
        <v>21</v>
      </c>
      <c r="G6" s="5" t="s">
        <v>234</v>
      </c>
      <c r="H6" s="6" t="s">
        <v>234</v>
      </c>
      <c r="J6" s="7" t="s">
        <v>24</v>
      </c>
      <c r="K6" s="8"/>
      <c r="W6" t="str">
        <f t="shared" ref="W6:W37" si="0">IF($E6="","",IF(UPPER(LEFT($E6,1))="R","Red",IF(UPPER(LEFT($E6,1))="G","Green",IF(UPPER(LEFT($E6,1))="B","Blue","")))&amp;"-"&amp;IFERROR(VALUE(SUBSTITUTE(MID($E6,2,10),"-","")),""))</f>
        <v>Red-1</v>
      </c>
    </row>
    <row r="7" spans="1:23" ht="15" customHeight="1">
      <c r="A7" s="24"/>
      <c r="B7" s="31">
        <v>2</v>
      </c>
      <c r="C7" s="10" t="s">
        <v>214</v>
      </c>
      <c r="D7" s="10">
        <v>91</v>
      </c>
      <c r="E7" s="74" t="s">
        <v>202</v>
      </c>
      <c r="F7" s="9"/>
      <c r="G7" s="10" t="s">
        <v>234</v>
      </c>
      <c r="H7" s="11"/>
      <c r="J7" s="7" t="s">
        <v>25</v>
      </c>
      <c r="K7" s="8"/>
      <c r="W7" t="str">
        <f t="shared" si="0"/>
        <v>Red-2</v>
      </c>
    </row>
    <row r="8" spans="1:23" ht="15" customHeight="1">
      <c r="A8" s="24"/>
      <c r="B8" s="32">
        <v>3</v>
      </c>
      <c r="C8" s="13" t="s">
        <v>223</v>
      </c>
      <c r="D8" s="13" t="s">
        <v>248</v>
      </c>
      <c r="E8" s="74" t="s">
        <v>46</v>
      </c>
      <c r="F8" s="12"/>
      <c r="G8" s="13"/>
      <c r="H8" s="14"/>
      <c r="J8" s="7" t="s">
        <v>26</v>
      </c>
      <c r="K8" s="8"/>
      <c r="W8" t="str">
        <f t="shared" si="0"/>
        <v>Red-3</v>
      </c>
    </row>
    <row r="9" spans="1:23" ht="15" customHeight="1">
      <c r="A9" s="24"/>
      <c r="B9" s="31">
        <v>4</v>
      </c>
      <c r="C9" s="10" t="s">
        <v>224</v>
      </c>
      <c r="D9" s="10">
        <v>57</v>
      </c>
      <c r="E9" s="74" t="s">
        <v>203</v>
      </c>
      <c r="F9" s="9"/>
      <c r="G9" s="10"/>
      <c r="H9" s="11"/>
      <c r="J9" s="7" t="s">
        <v>27</v>
      </c>
      <c r="K9" s="8"/>
      <c r="W9" t="str">
        <f t="shared" si="0"/>
        <v>Red-4</v>
      </c>
    </row>
    <row r="10" spans="1:23" ht="15" customHeight="1">
      <c r="A10" s="24"/>
      <c r="B10" s="32">
        <v>5</v>
      </c>
      <c r="C10" s="13" t="s">
        <v>225</v>
      </c>
      <c r="D10" s="13">
        <v>81</v>
      </c>
      <c r="E10" s="74" t="s">
        <v>204</v>
      </c>
      <c r="F10" s="12"/>
      <c r="G10" s="13"/>
      <c r="H10" s="14"/>
      <c r="J10" s="7" t="s">
        <v>28</v>
      </c>
      <c r="K10" s="8"/>
      <c r="W10" t="str">
        <f t="shared" si="0"/>
        <v>Red-5</v>
      </c>
    </row>
    <row r="11" spans="1:23" ht="15" customHeight="1">
      <c r="A11" s="24"/>
      <c r="B11" s="31">
        <v>6</v>
      </c>
      <c r="C11" s="10" t="s">
        <v>226</v>
      </c>
      <c r="D11" s="10">
        <v>604</v>
      </c>
      <c r="E11" s="74" t="s">
        <v>205</v>
      </c>
      <c r="F11" s="9"/>
      <c r="G11" s="10"/>
      <c r="H11" s="11"/>
      <c r="J11" s="7" t="s">
        <v>29</v>
      </c>
      <c r="K11" s="8"/>
      <c r="W11" t="str">
        <f t="shared" si="0"/>
        <v>Red-6</v>
      </c>
    </row>
    <row r="12" spans="1:23" ht="15" customHeight="1">
      <c r="A12" s="24"/>
      <c r="B12" s="32">
        <v>7</v>
      </c>
      <c r="C12" s="13" t="s">
        <v>227</v>
      </c>
      <c r="D12" s="10">
        <v>604</v>
      </c>
      <c r="E12" s="74" t="s">
        <v>206</v>
      </c>
      <c r="F12" s="12"/>
      <c r="G12" s="13"/>
      <c r="H12" s="14"/>
      <c r="W12" t="str">
        <f t="shared" si="0"/>
        <v>Red-7</v>
      </c>
    </row>
    <row r="13" spans="1:23" ht="16" customHeight="1">
      <c r="A13" s="24"/>
      <c r="B13" s="31">
        <v>8</v>
      </c>
      <c r="C13" s="10" t="s">
        <v>228</v>
      </c>
      <c r="D13" s="10">
        <v>604</v>
      </c>
      <c r="E13" s="74" t="s">
        <v>207</v>
      </c>
      <c r="F13" s="9"/>
      <c r="G13" s="10"/>
      <c r="H13" s="11"/>
      <c r="J13" s="63" t="s">
        <v>47</v>
      </c>
      <c r="K13" s="64"/>
      <c r="L13" s="64"/>
      <c r="M13" s="64"/>
      <c r="N13" s="64"/>
      <c r="O13" s="64"/>
      <c r="P13" s="64"/>
      <c r="Q13" s="64"/>
      <c r="R13" s="64"/>
      <c r="S13" s="64"/>
      <c r="T13" s="60"/>
      <c r="W13" t="str">
        <f t="shared" si="0"/>
        <v>Red-8</v>
      </c>
    </row>
    <row r="14" spans="1:23" ht="15" customHeight="1">
      <c r="A14" s="24"/>
      <c r="B14" s="32">
        <v>9</v>
      </c>
      <c r="C14" s="13" t="s">
        <v>229</v>
      </c>
      <c r="D14" s="10">
        <v>604</v>
      </c>
      <c r="E14" s="74" t="s">
        <v>208</v>
      </c>
      <c r="F14" s="12"/>
      <c r="G14" s="13"/>
      <c r="H14" s="14"/>
      <c r="J14" s="36" t="s">
        <v>31</v>
      </c>
      <c r="K14" s="36" t="s">
        <v>7</v>
      </c>
      <c r="L14" s="37" t="s">
        <v>8</v>
      </c>
      <c r="N14" s="38" t="s">
        <v>31</v>
      </c>
      <c r="O14" s="38" t="s">
        <v>7</v>
      </c>
      <c r="P14" s="39" t="s">
        <v>8</v>
      </c>
      <c r="R14" s="40" t="s">
        <v>31</v>
      </c>
      <c r="S14" s="40" t="s">
        <v>7</v>
      </c>
      <c r="T14" s="41" t="s">
        <v>8</v>
      </c>
      <c r="W14" t="str">
        <f t="shared" si="0"/>
        <v>Red-9</v>
      </c>
    </row>
    <row r="15" spans="1:23" ht="15" customHeight="1">
      <c r="A15" s="24"/>
      <c r="B15" s="31">
        <v>10</v>
      </c>
      <c r="C15" s="10" t="s">
        <v>230</v>
      </c>
      <c r="D15" s="10">
        <v>81</v>
      </c>
      <c r="E15" s="74" t="s">
        <v>209</v>
      </c>
      <c r="F15" s="9"/>
      <c r="G15" s="10"/>
      <c r="H15" s="11"/>
      <c r="J15" s="12">
        <v>1</v>
      </c>
      <c r="K15" s="12" t="str">
        <f t="shared" ref="K15:K30" si="1">IFERROR(INDEX($B$6:$B$37,MATCH("Red-"&amp;J15,$W$6:$W$37,0)),"")</f>
        <v>1</v>
      </c>
      <c r="L15" s="13" t="str">
        <f t="shared" ref="L15:L30" si="2">IFERROR(INDEX($C$6:$C$37,MATCH("Red-"&amp;J15,$W$6:$W$37,0)),"")</f>
        <v>Kick In</v>
      </c>
      <c r="N15" s="12">
        <v>1</v>
      </c>
      <c r="O15" s="12">
        <f t="shared" ref="O15:O26" si="3">IFERROR(INDEX($B$6:$B$37,MATCH("Green-"&amp;N15,$W$6:$W$37,0)),"")</f>
        <v>18</v>
      </c>
      <c r="P15" s="13" t="str">
        <f t="shared" ref="P15:P26" si="4">IFERROR(INDEX($C$6:$C$37,MATCH("Green-"&amp;N15,$W$6:$W$37,0)),"")</f>
        <v>Acoustic</v>
      </c>
      <c r="R15" s="12">
        <v>1</v>
      </c>
      <c r="S15" s="12" t="str">
        <f t="shared" ref="S15:S26" si="5">IFERROR(INDEX($B$6:$B$37,MATCH("Blue-"&amp;R15,$W$6:$W$37,0)),"")</f>
        <v/>
      </c>
      <c r="T15" s="13" t="str">
        <f t="shared" ref="T15:T26" si="6">IFERROR(INDEX($C$6:$C$37,MATCH("Blue-"&amp;R15,$W$6:$W$37,0)),"")</f>
        <v/>
      </c>
      <c r="W15" t="str">
        <f t="shared" si="0"/>
        <v>Red-10</v>
      </c>
    </row>
    <row r="16" spans="1:23" ht="15" customHeight="1">
      <c r="A16" s="24"/>
      <c r="B16" s="32">
        <v>11</v>
      </c>
      <c r="C16" s="13" t="s">
        <v>231</v>
      </c>
      <c r="D16" s="13">
        <v>81</v>
      </c>
      <c r="E16" s="74" t="s">
        <v>210</v>
      </c>
      <c r="F16" s="12"/>
      <c r="G16" s="13"/>
      <c r="H16" s="14"/>
      <c r="J16" s="9">
        <v>2</v>
      </c>
      <c r="K16" s="9">
        <f t="shared" si="1"/>
        <v>2</v>
      </c>
      <c r="L16" s="10" t="str">
        <f t="shared" si="2"/>
        <v>Kick Out</v>
      </c>
      <c r="N16" s="9">
        <v>2</v>
      </c>
      <c r="O16" s="9">
        <f t="shared" si="3"/>
        <v>19</v>
      </c>
      <c r="P16" s="10" t="str">
        <f t="shared" si="4"/>
        <v>Piano Left</v>
      </c>
      <c r="R16" s="9">
        <v>2</v>
      </c>
      <c r="S16" s="9" t="str">
        <f t="shared" si="5"/>
        <v/>
      </c>
      <c r="T16" s="10" t="str">
        <f t="shared" si="6"/>
        <v/>
      </c>
      <c r="W16" t="str">
        <f t="shared" si="0"/>
        <v>Red-11</v>
      </c>
    </row>
    <row r="17" spans="1:23" ht="15" customHeight="1">
      <c r="A17" s="24"/>
      <c r="B17" s="31">
        <v>12</v>
      </c>
      <c r="C17" s="10" t="s">
        <v>232</v>
      </c>
      <c r="D17" s="10" t="s">
        <v>249</v>
      </c>
      <c r="E17" s="74" t="s">
        <v>211</v>
      </c>
      <c r="F17" s="9"/>
      <c r="G17" s="10"/>
      <c r="H17" s="11"/>
      <c r="J17" s="12">
        <v>3</v>
      </c>
      <c r="K17" s="12">
        <f t="shared" si="1"/>
        <v>3</v>
      </c>
      <c r="L17" s="13" t="str">
        <f t="shared" si="2"/>
        <v>Sanre Top</v>
      </c>
      <c r="N17" s="12">
        <v>3</v>
      </c>
      <c r="O17" s="12">
        <f t="shared" si="3"/>
        <v>20</v>
      </c>
      <c r="P17" s="13" t="str">
        <f t="shared" si="4"/>
        <v>Piano Right</v>
      </c>
      <c r="R17" s="12">
        <v>3</v>
      </c>
      <c r="S17" s="12" t="str">
        <f t="shared" si="5"/>
        <v/>
      </c>
      <c r="T17" s="13" t="str">
        <f t="shared" si="6"/>
        <v/>
      </c>
      <c r="W17" t="str">
        <f t="shared" si="0"/>
        <v>Red-12</v>
      </c>
    </row>
    <row r="18" spans="1:23" ht="15" customHeight="1">
      <c r="A18" s="24"/>
      <c r="B18" s="32">
        <v>13</v>
      </c>
      <c r="C18" s="13" t="s">
        <v>233</v>
      </c>
      <c r="D18" s="13">
        <v>421</v>
      </c>
      <c r="E18" s="74" t="s">
        <v>212</v>
      </c>
      <c r="F18" s="12"/>
      <c r="G18" s="13"/>
      <c r="H18" s="14"/>
      <c r="J18" s="9">
        <v>4</v>
      </c>
      <c r="K18" s="9">
        <f t="shared" si="1"/>
        <v>4</v>
      </c>
      <c r="L18" s="10" t="str">
        <f t="shared" si="2"/>
        <v>Snare Bottom</v>
      </c>
      <c r="N18" s="9">
        <v>4</v>
      </c>
      <c r="O18" s="9">
        <f t="shared" si="3"/>
        <v>21</v>
      </c>
      <c r="P18" s="10" t="str">
        <f t="shared" si="4"/>
        <v>Keys Left</v>
      </c>
      <c r="R18" s="9">
        <v>4</v>
      </c>
      <c r="S18" s="9" t="str">
        <f t="shared" si="5"/>
        <v/>
      </c>
      <c r="T18" s="10" t="str">
        <f t="shared" si="6"/>
        <v/>
      </c>
      <c r="W18" t="str">
        <f t="shared" si="0"/>
        <v>Red-13</v>
      </c>
    </row>
    <row r="19" spans="1:23" ht="15" customHeight="1">
      <c r="A19" s="24"/>
      <c r="B19" s="31">
        <v>14</v>
      </c>
      <c r="C19" s="10"/>
      <c r="D19" s="10"/>
      <c r="E19" s="30" t="s">
        <v>234</v>
      </c>
      <c r="F19" s="9"/>
      <c r="G19" s="10"/>
      <c r="H19" s="11"/>
      <c r="J19" s="12">
        <v>5</v>
      </c>
      <c r="K19" s="12">
        <f t="shared" si="1"/>
        <v>5</v>
      </c>
      <c r="L19" s="13" t="str">
        <f t="shared" si="2"/>
        <v>Hat</v>
      </c>
      <c r="N19" s="12">
        <v>5</v>
      </c>
      <c r="O19" s="12">
        <f t="shared" si="3"/>
        <v>22</v>
      </c>
      <c r="P19" s="13" t="str">
        <f t="shared" si="4"/>
        <v>Keys Right</v>
      </c>
      <c r="R19" s="12">
        <v>5</v>
      </c>
      <c r="S19" s="12" t="str">
        <f t="shared" si="5"/>
        <v/>
      </c>
      <c r="T19" s="13" t="str">
        <f t="shared" si="6"/>
        <v/>
      </c>
      <c r="W19" t="str">
        <f t="shared" si="0"/>
        <v>-</v>
      </c>
    </row>
    <row r="20" spans="1:23" ht="15" customHeight="1">
      <c r="A20" s="24"/>
      <c r="B20" s="32">
        <v>15</v>
      </c>
      <c r="C20" s="13"/>
      <c r="D20" s="13"/>
      <c r="E20" s="32"/>
      <c r="F20" s="12"/>
      <c r="G20" s="13"/>
      <c r="H20" s="14"/>
      <c r="J20" s="9">
        <v>6</v>
      </c>
      <c r="K20" s="9">
        <f t="shared" si="1"/>
        <v>6</v>
      </c>
      <c r="L20" s="10" t="str">
        <f t="shared" si="2"/>
        <v>Rack 1</v>
      </c>
      <c r="N20" s="9">
        <v>6</v>
      </c>
      <c r="O20" s="9" t="str">
        <f t="shared" si="3"/>
        <v/>
      </c>
      <c r="P20" s="10" t="str">
        <f t="shared" si="4"/>
        <v/>
      </c>
      <c r="R20" s="9">
        <v>6</v>
      </c>
      <c r="S20" s="9" t="str">
        <f t="shared" si="5"/>
        <v/>
      </c>
      <c r="T20" s="10" t="str">
        <f t="shared" si="6"/>
        <v/>
      </c>
      <c r="W20" t="str">
        <f t="shared" si="0"/>
        <v/>
      </c>
    </row>
    <row r="21" spans="1:23" ht="15" customHeight="1">
      <c r="A21" s="24"/>
      <c r="B21" s="31">
        <v>16</v>
      </c>
      <c r="C21" s="10" t="s">
        <v>235</v>
      </c>
      <c r="D21" s="10" t="s">
        <v>250</v>
      </c>
      <c r="E21" s="73" t="s">
        <v>213</v>
      </c>
      <c r="F21" s="9"/>
      <c r="G21" s="10"/>
      <c r="H21" s="11"/>
      <c r="J21" s="12">
        <v>7</v>
      </c>
      <c r="K21" s="12">
        <f t="shared" si="1"/>
        <v>7</v>
      </c>
      <c r="L21" s="13" t="str">
        <f t="shared" si="2"/>
        <v>Rack 2</v>
      </c>
      <c r="N21" s="12">
        <v>7</v>
      </c>
      <c r="O21" s="12" t="str">
        <f t="shared" si="3"/>
        <v/>
      </c>
      <c r="P21" s="13" t="str">
        <f t="shared" si="4"/>
        <v/>
      </c>
      <c r="R21" s="12">
        <v>7</v>
      </c>
      <c r="S21" s="12" t="str">
        <f t="shared" si="5"/>
        <v/>
      </c>
      <c r="T21" s="13" t="str">
        <f t="shared" si="6"/>
        <v/>
      </c>
      <c r="W21" t="str">
        <f t="shared" si="0"/>
        <v>Red-14</v>
      </c>
    </row>
    <row r="22" spans="1:23" ht="15" customHeight="1">
      <c r="A22" s="24"/>
      <c r="B22" s="32">
        <v>17</v>
      </c>
      <c r="C22" s="13" t="s">
        <v>236</v>
      </c>
      <c r="D22" s="13">
        <v>609</v>
      </c>
      <c r="E22" s="73" t="s">
        <v>247</v>
      </c>
      <c r="F22" s="12"/>
      <c r="G22" s="13"/>
      <c r="H22" s="14"/>
      <c r="J22" s="9">
        <v>8</v>
      </c>
      <c r="K22" s="9">
        <f t="shared" si="1"/>
        <v>8</v>
      </c>
      <c r="L22" s="10" t="str">
        <f t="shared" si="2"/>
        <v>Floor 1</v>
      </c>
      <c r="N22" s="9">
        <v>8</v>
      </c>
      <c r="O22" s="9" t="str">
        <f t="shared" si="3"/>
        <v/>
      </c>
      <c r="P22" s="10" t="str">
        <f t="shared" si="4"/>
        <v/>
      </c>
      <c r="R22" s="9">
        <v>8</v>
      </c>
      <c r="S22" s="9" t="str">
        <f t="shared" si="5"/>
        <v/>
      </c>
      <c r="T22" s="10" t="str">
        <f t="shared" si="6"/>
        <v/>
      </c>
      <c r="W22" t="str">
        <f t="shared" si="0"/>
        <v>Red-15</v>
      </c>
    </row>
    <row r="23" spans="1:23" ht="15" customHeight="1">
      <c r="A23" s="24"/>
      <c r="B23" s="31">
        <v>18</v>
      </c>
      <c r="C23" s="10" t="s">
        <v>237</v>
      </c>
      <c r="D23" s="10" t="s">
        <v>249</v>
      </c>
      <c r="E23" s="72" t="s">
        <v>242</v>
      </c>
      <c r="F23" s="9"/>
      <c r="G23" s="10"/>
      <c r="H23" s="11"/>
      <c r="J23" s="12">
        <v>9</v>
      </c>
      <c r="K23" s="12">
        <f t="shared" si="1"/>
        <v>9</v>
      </c>
      <c r="L23" s="13" t="str">
        <f t="shared" si="2"/>
        <v>Floor 2</v>
      </c>
      <c r="N23" s="12">
        <v>9</v>
      </c>
      <c r="O23" s="12" t="str">
        <f t="shared" si="3"/>
        <v/>
      </c>
      <c r="P23" s="13" t="str">
        <f t="shared" si="4"/>
        <v/>
      </c>
      <c r="R23" s="12">
        <v>9</v>
      </c>
      <c r="S23" s="12" t="str">
        <f t="shared" si="5"/>
        <v/>
      </c>
      <c r="T23" s="13" t="str">
        <f t="shared" si="6"/>
        <v/>
      </c>
      <c r="W23" t="str">
        <f t="shared" si="0"/>
        <v>Green-1</v>
      </c>
    </row>
    <row r="24" spans="1:23" ht="15" customHeight="1">
      <c r="A24" s="24"/>
      <c r="B24" s="32">
        <v>19</v>
      </c>
      <c r="C24" s="13" t="s">
        <v>238</v>
      </c>
      <c r="D24" s="10" t="s">
        <v>249</v>
      </c>
      <c r="E24" s="72" t="s">
        <v>243</v>
      </c>
      <c r="F24" s="12"/>
      <c r="G24" s="13"/>
      <c r="H24" s="14"/>
      <c r="J24" s="9">
        <v>10</v>
      </c>
      <c r="K24" s="9">
        <f t="shared" si="1"/>
        <v>10</v>
      </c>
      <c r="L24" s="10" t="str">
        <f t="shared" si="2"/>
        <v>Overhead Left</v>
      </c>
      <c r="N24" s="9">
        <v>10</v>
      </c>
      <c r="O24" s="9" t="str">
        <f t="shared" si="3"/>
        <v/>
      </c>
      <c r="P24" s="10" t="str">
        <f t="shared" si="4"/>
        <v/>
      </c>
      <c r="R24" s="9">
        <v>10</v>
      </c>
      <c r="S24" s="9" t="str">
        <f t="shared" si="5"/>
        <v/>
      </c>
      <c r="T24" s="10" t="str">
        <f t="shared" si="6"/>
        <v/>
      </c>
      <c r="W24" t="str">
        <f t="shared" si="0"/>
        <v>Green-2</v>
      </c>
    </row>
    <row r="25" spans="1:23" ht="15" customHeight="1">
      <c r="A25" s="24"/>
      <c r="B25" s="31">
        <v>20</v>
      </c>
      <c r="C25" s="10" t="s">
        <v>239</v>
      </c>
      <c r="D25" s="10" t="s">
        <v>249</v>
      </c>
      <c r="E25" s="72" t="s">
        <v>244</v>
      </c>
      <c r="F25" s="9"/>
      <c r="G25" s="10"/>
      <c r="H25" s="11"/>
      <c r="J25" s="12">
        <v>11</v>
      </c>
      <c r="K25" s="12">
        <f t="shared" si="1"/>
        <v>11</v>
      </c>
      <c r="L25" s="13" t="str">
        <f t="shared" si="2"/>
        <v>Overhead Right</v>
      </c>
      <c r="N25" s="12">
        <v>11</v>
      </c>
      <c r="O25" s="12" t="str">
        <f t="shared" si="3"/>
        <v/>
      </c>
      <c r="P25" s="13" t="str">
        <f t="shared" si="4"/>
        <v/>
      </c>
      <c r="R25" s="12">
        <v>11</v>
      </c>
      <c r="S25" s="12" t="str">
        <f t="shared" si="5"/>
        <v/>
      </c>
      <c r="T25" s="13" t="str">
        <f t="shared" si="6"/>
        <v/>
      </c>
      <c r="W25" t="str">
        <f t="shared" si="0"/>
        <v>Green-3</v>
      </c>
    </row>
    <row r="26" spans="1:23" ht="15" customHeight="1">
      <c r="A26" s="24"/>
      <c r="B26" s="32">
        <v>21</v>
      </c>
      <c r="C26" s="13" t="s">
        <v>240</v>
      </c>
      <c r="D26" s="10" t="s">
        <v>249</v>
      </c>
      <c r="E26" s="72" t="s">
        <v>245</v>
      </c>
      <c r="F26" s="12"/>
      <c r="G26" s="13"/>
      <c r="H26" s="14"/>
      <c r="J26" s="9">
        <v>12</v>
      </c>
      <c r="K26" s="9">
        <f t="shared" si="1"/>
        <v>12</v>
      </c>
      <c r="L26" s="10" t="str">
        <f t="shared" si="2"/>
        <v>Bass DI</v>
      </c>
      <c r="N26" s="9">
        <v>12</v>
      </c>
      <c r="O26" s="9" t="str">
        <f t="shared" si="3"/>
        <v/>
      </c>
      <c r="P26" s="10" t="str">
        <f t="shared" si="4"/>
        <v/>
      </c>
      <c r="R26" s="9">
        <v>12</v>
      </c>
      <c r="S26" s="9" t="str">
        <f t="shared" si="5"/>
        <v/>
      </c>
      <c r="T26" s="10" t="str">
        <f t="shared" si="6"/>
        <v/>
      </c>
      <c r="W26" t="str">
        <f t="shared" si="0"/>
        <v>Green-4</v>
      </c>
    </row>
    <row r="27" spans="1:23" ht="15" customHeight="1">
      <c r="A27" s="24"/>
      <c r="B27" s="31">
        <v>22</v>
      </c>
      <c r="C27" s="10" t="s">
        <v>241</v>
      </c>
      <c r="D27" s="10" t="s">
        <v>249</v>
      </c>
      <c r="E27" s="72" t="s">
        <v>246</v>
      </c>
      <c r="F27" s="9"/>
      <c r="G27" s="10"/>
      <c r="H27" s="11"/>
      <c r="J27" s="12">
        <v>13</v>
      </c>
      <c r="K27" s="12">
        <f t="shared" si="1"/>
        <v>13</v>
      </c>
      <c r="L27" s="13" t="str">
        <f t="shared" si="2"/>
        <v>Bass Mic</v>
      </c>
      <c r="W27" t="str">
        <f t="shared" si="0"/>
        <v>Green-5</v>
      </c>
    </row>
    <row r="28" spans="1:23" ht="15" customHeight="1">
      <c r="A28" s="24"/>
      <c r="B28" s="32">
        <v>23</v>
      </c>
      <c r="C28" s="13"/>
      <c r="D28" s="13"/>
      <c r="E28" s="32"/>
      <c r="F28" s="12"/>
      <c r="G28" s="13"/>
      <c r="H28" s="14"/>
      <c r="J28" s="9">
        <v>14</v>
      </c>
      <c r="K28" s="9">
        <f t="shared" si="1"/>
        <v>16</v>
      </c>
      <c r="L28" s="10" t="str">
        <f t="shared" si="2"/>
        <v>KeyTar</v>
      </c>
      <c r="W28" t="str">
        <f t="shared" si="0"/>
        <v/>
      </c>
    </row>
    <row r="29" spans="1:23" ht="15" customHeight="1">
      <c r="A29" s="24"/>
      <c r="B29" s="31">
        <v>24</v>
      </c>
      <c r="C29" s="10"/>
      <c r="D29" s="10"/>
      <c r="E29" s="31"/>
      <c r="F29" s="9"/>
      <c r="G29" s="10"/>
      <c r="H29" s="11"/>
      <c r="J29" s="12">
        <v>15</v>
      </c>
      <c r="K29" s="12">
        <f t="shared" si="1"/>
        <v>17</v>
      </c>
      <c r="L29" s="13" t="str">
        <f t="shared" si="2"/>
        <v>Guitar</v>
      </c>
      <c r="W29" t="str">
        <f t="shared" si="0"/>
        <v/>
      </c>
    </row>
    <row r="30" spans="1:23" ht="15" customHeight="1">
      <c r="A30" s="24"/>
      <c r="B30" s="32">
        <v>25</v>
      </c>
      <c r="C30" s="13"/>
      <c r="D30" s="13"/>
      <c r="E30" s="32"/>
      <c r="F30" s="12"/>
      <c r="G30" s="13"/>
      <c r="H30" s="14"/>
      <c r="J30" s="9">
        <v>16</v>
      </c>
      <c r="K30" s="9" t="str">
        <f t="shared" si="1"/>
        <v/>
      </c>
      <c r="L30" s="10" t="str">
        <f t="shared" si="2"/>
        <v/>
      </c>
      <c r="W30" t="str">
        <f t="shared" si="0"/>
        <v/>
      </c>
    </row>
    <row r="31" spans="1:23" ht="15" customHeight="1">
      <c r="A31" s="24"/>
      <c r="B31" s="31">
        <v>26</v>
      </c>
      <c r="C31" s="10"/>
      <c r="D31" s="10"/>
      <c r="E31" s="31"/>
      <c r="F31" s="9"/>
      <c r="G31" s="10"/>
      <c r="H31" s="11"/>
      <c r="W31" t="str">
        <f t="shared" si="0"/>
        <v/>
      </c>
    </row>
    <row r="32" spans="1:23" ht="15" customHeight="1">
      <c r="A32" s="24"/>
      <c r="B32" s="32">
        <v>27</v>
      </c>
      <c r="C32" s="13"/>
      <c r="D32" s="13"/>
      <c r="E32" s="32"/>
      <c r="F32" s="12"/>
      <c r="G32" s="13"/>
      <c r="H32" s="14"/>
      <c r="J32" s="61" t="s">
        <v>48</v>
      </c>
      <c r="K32" s="58"/>
      <c r="L32" s="58"/>
      <c r="M32" s="58"/>
      <c r="N32" s="58"/>
      <c r="O32" s="58"/>
      <c r="P32" s="58"/>
      <c r="Q32" s="58"/>
      <c r="R32" s="58"/>
      <c r="S32" s="58"/>
      <c r="T32" s="58"/>
      <c r="W32" t="str">
        <f t="shared" si="0"/>
        <v/>
      </c>
    </row>
    <row r="33" spans="1:23" ht="15" customHeight="1">
      <c r="A33" s="24"/>
      <c r="B33" s="31">
        <v>28</v>
      </c>
      <c r="C33" s="10"/>
      <c r="D33" s="10"/>
      <c r="E33" s="31"/>
      <c r="F33" s="9"/>
      <c r="G33" s="10"/>
      <c r="H33" s="11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W33" t="str">
        <f t="shared" si="0"/>
        <v/>
      </c>
    </row>
    <row r="34" spans="1:23" ht="15" customHeight="1">
      <c r="A34" s="24"/>
      <c r="B34" s="32">
        <v>29</v>
      </c>
      <c r="C34" s="13"/>
      <c r="D34" s="13"/>
      <c r="E34" s="32"/>
      <c r="F34" s="12"/>
      <c r="G34" s="13"/>
      <c r="H34" s="14"/>
      <c r="W34" t="str">
        <f t="shared" si="0"/>
        <v/>
      </c>
    </row>
    <row r="35" spans="1:23" ht="15" customHeight="1">
      <c r="A35" s="24"/>
      <c r="B35" s="31">
        <v>30</v>
      </c>
      <c r="C35" s="10"/>
      <c r="D35" s="10"/>
      <c r="E35" s="31"/>
      <c r="F35" s="9"/>
      <c r="G35" s="10"/>
      <c r="H35" s="11"/>
      <c r="W35" t="str">
        <f t="shared" si="0"/>
        <v/>
      </c>
    </row>
    <row r="36" spans="1:23" ht="15" customHeight="1">
      <c r="A36" s="24"/>
      <c r="B36" s="32">
        <v>31</v>
      </c>
      <c r="C36" s="13"/>
      <c r="D36" s="13"/>
      <c r="E36" s="32"/>
      <c r="F36" s="12"/>
      <c r="G36" s="13"/>
      <c r="H36" s="14"/>
      <c r="W36" t="str">
        <f t="shared" si="0"/>
        <v/>
      </c>
    </row>
    <row r="37" spans="1:23" ht="15" customHeight="1">
      <c r="A37" s="24"/>
      <c r="B37" s="31">
        <v>32</v>
      </c>
      <c r="C37" s="10"/>
      <c r="D37" s="10"/>
      <c r="E37" s="31"/>
      <c r="F37" s="9"/>
      <c r="G37" s="10"/>
      <c r="H37" s="11"/>
      <c r="W37" t="str">
        <f t="shared" si="0"/>
        <v/>
      </c>
    </row>
  </sheetData>
  <mergeCells count="5">
    <mergeCell ref="A3:K3"/>
    <mergeCell ref="J5:K5"/>
    <mergeCell ref="J32:T33"/>
    <mergeCell ref="A1:K1"/>
    <mergeCell ref="J13:T13"/>
  </mergeCells>
  <phoneticPr fontId="28" type="noConversion"/>
  <conditionalFormatting sqref="A6:A37">
    <cfRule type="expression" dxfId="2" priority="1">
      <formula>LEFT($E6,1)="R"</formula>
    </cfRule>
    <cfRule type="expression" dxfId="1" priority="2">
      <formula>LEFT($E6,1)="G"</formula>
    </cfRule>
    <cfRule type="expression" dxfId="0" priority="3">
      <formula>LEFT($E6,1)="B"</formula>
    </cfRule>
  </conditionalFormatting>
  <dataValidations count="2">
    <dataValidation type="list" allowBlank="1" sqref="G6:G37" xr:uid="{00000000-0002-0000-0200-000000000000}">
      <formula1>"Short,Tall,Boom,Bar,Clip,DI,—"</formula1>
    </dataValidation>
    <dataValidation type="list" allowBlank="1" sqref="F6:F37" xr:uid="{00000000-0002-0000-0200-000001000000}">
      <formula1>"✓"</formula1>
    </dataValidation>
  </dataValidations>
  <pageMargins left="0.4" right="0.4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6"/>
  <sheetViews>
    <sheetView workbookViewId="0"/>
  </sheetViews>
  <sheetFormatPr baseColWidth="10" defaultColWidth="8.83203125" defaultRowHeight="15"/>
  <cols>
    <col min="1" max="1" width="19.1640625" customWidth="1"/>
    <col min="2" max="2" width="17.1640625" customWidth="1"/>
    <col min="3" max="3" width="21.83203125" customWidth="1"/>
    <col min="4" max="4" width="77.1640625" customWidth="1"/>
    <col min="5" max="5" width="23" customWidth="1"/>
    <col min="6" max="6" width="14.6640625" customWidth="1"/>
    <col min="7" max="7" width="95.33203125" customWidth="1"/>
  </cols>
  <sheetData>
    <row r="1" spans="1:7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14</v>
      </c>
    </row>
    <row r="2" spans="1:7">
      <c r="A2" s="26" t="s">
        <v>55</v>
      </c>
      <c r="B2" s="27" t="s">
        <v>56</v>
      </c>
      <c r="C2" s="27" t="s">
        <v>57</v>
      </c>
      <c r="D2" s="27" t="s">
        <v>58</v>
      </c>
      <c r="E2" s="27" t="s">
        <v>59</v>
      </c>
      <c r="F2" s="27" t="s">
        <v>60</v>
      </c>
      <c r="G2" s="28"/>
    </row>
    <row r="3" spans="1:7">
      <c r="A3" s="26" t="s">
        <v>61</v>
      </c>
      <c r="B3" s="27" t="s">
        <v>56</v>
      </c>
      <c r="C3" s="27" t="s">
        <v>57</v>
      </c>
      <c r="D3" s="27" t="s">
        <v>62</v>
      </c>
      <c r="E3" s="27" t="s">
        <v>59</v>
      </c>
      <c r="F3" s="27" t="s">
        <v>60</v>
      </c>
      <c r="G3" s="28"/>
    </row>
    <row r="4" spans="1:7">
      <c r="A4" s="26" t="s">
        <v>63</v>
      </c>
      <c r="B4" s="27" t="s">
        <v>56</v>
      </c>
      <c r="C4" s="27" t="s">
        <v>64</v>
      </c>
      <c r="D4" s="27" t="s">
        <v>65</v>
      </c>
      <c r="E4" s="27" t="s">
        <v>59</v>
      </c>
      <c r="F4" s="27" t="s">
        <v>60</v>
      </c>
      <c r="G4" s="27" t="s">
        <v>66</v>
      </c>
    </row>
    <row r="5" spans="1:7">
      <c r="A5" s="26" t="s">
        <v>67</v>
      </c>
      <c r="B5" s="27" t="s">
        <v>56</v>
      </c>
      <c r="C5" s="27" t="s">
        <v>64</v>
      </c>
      <c r="D5" s="27" t="s">
        <v>68</v>
      </c>
      <c r="E5" s="27" t="s">
        <v>59</v>
      </c>
      <c r="F5" s="27" t="s">
        <v>60</v>
      </c>
      <c r="G5" s="28"/>
    </row>
    <row r="6" spans="1:7">
      <c r="A6" s="26" t="s">
        <v>69</v>
      </c>
      <c r="B6" s="27" t="s">
        <v>56</v>
      </c>
      <c r="C6" s="27" t="s">
        <v>57</v>
      </c>
      <c r="D6" s="27" t="s">
        <v>70</v>
      </c>
      <c r="E6" s="27" t="s">
        <v>59</v>
      </c>
      <c r="F6" s="27" t="s">
        <v>60</v>
      </c>
      <c r="G6" s="27" t="s">
        <v>71</v>
      </c>
    </row>
    <row r="7" spans="1:7">
      <c r="A7" s="26" t="s">
        <v>72</v>
      </c>
      <c r="B7" s="27" t="s">
        <v>56</v>
      </c>
      <c r="C7" s="27" t="s">
        <v>64</v>
      </c>
      <c r="D7" s="27" t="s">
        <v>73</v>
      </c>
      <c r="E7" s="27" t="s">
        <v>59</v>
      </c>
      <c r="F7" s="27" t="s">
        <v>60</v>
      </c>
      <c r="G7" s="28"/>
    </row>
    <row r="8" spans="1:7">
      <c r="A8" s="26" t="s">
        <v>74</v>
      </c>
      <c r="B8" s="27" t="s">
        <v>56</v>
      </c>
      <c r="C8" s="27" t="s">
        <v>57</v>
      </c>
      <c r="D8" s="27" t="s">
        <v>75</v>
      </c>
      <c r="E8" s="27" t="s">
        <v>59</v>
      </c>
      <c r="F8" s="27" t="s">
        <v>60</v>
      </c>
      <c r="G8" s="28"/>
    </row>
    <row r="9" spans="1:7">
      <c r="A9" s="26" t="s">
        <v>76</v>
      </c>
      <c r="B9" s="27" t="s">
        <v>56</v>
      </c>
      <c r="C9" s="27" t="s">
        <v>57</v>
      </c>
      <c r="D9" s="27" t="s">
        <v>77</v>
      </c>
      <c r="E9" s="27" t="s">
        <v>59</v>
      </c>
      <c r="F9" s="27" t="s">
        <v>78</v>
      </c>
      <c r="G9" s="28"/>
    </row>
    <row r="10" spans="1:7">
      <c r="A10" s="26" t="s">
        <v>79</v>
      </c>
      <c r="B10" s="27" t="s">
        <v>56</v>
      </c>
      <c r="C10" s="27" t="s">
        <v>57</v>
      </c>
      <c r="D10" s="27" t="s">
        <v>80</v>
      </c>
      <c r="E10" s="27" t="s">
        <v>59</v>
      </c>
      <c r="F10" s="27" t="s">
        <v>81</v>
      </c>
      <c r="G10" s="28"/>
    </row>
    <row r="11" spans="1:7">
      <c r="A11" s="26" t="s">
        <v>82</v>
      </c>
      <c r="B11" s="27" t="s">
        <v>56</v>
      </c>
      <c r="C11" s="27" t="s">
        <v>57</v>
      </c>
      <c r="D11" s="27" t="s">
        <v>83</v>
      </c>
      <c r="E11" s="27" t="s">
        <v>59</v>
      </c>
      <c r="F11" s="27" t="s">
        <v>81</v>
      </c>
      <c r="G11" s="27" t="s">
        <v>84</v>
      </c>
    </row>
    <row r="12" spans="1:7">
      <c r="A12" s="26" t="s">
        <v>85</v>
      </c>
      <c r="B12" s="27" t="s">
        <v>56</v>
      </c>
      <c r="C12" s="27" t="s">
        <v>57</v>
      </c>
      <c r="D12" s="27" t="s">
        <v>86</v>
      </c>
      <c r="E12" s="27" t="s">
        <v>59</v>
      </c>
      <c r="F12" s="27" t="s">
        <v>81</v>
      </c>
      <c r="G12" s="28"/>
    </row>
    <row r="13" spans="1:7">
      <c r="A13" s="26" t="s">
        <v>87</v>
      </c>
      <c r="B13" s="27" t="s">
        <v>88</v>
      </c>
      <c r="C13" s="27" t="s">
        <v>57</v>
      </c>
      <c r="D13" s="27" t="s">
        <v>89</v>
      </c>
      <c r="E13" s="27" t="s">
        <v>90</v>
      </c>
      <c r="F13" s="27" t="s">
        <v>60</v>
      </c>
      <c r="G13" s="27" t="s">
        <v>91</v>
      </c>
    </row>
    <row r="14" spans="1:7">
      <c r="A14" s="26" t="s">
        <v>92</v>
      </c>
      <c r="B14" s="27" t="s">
        <v>56</v>
      </c>
      <c r="C14" s="27" t="s">
        <v>56</v>
      </c>
      <c r="D14" s="27" t="s">
        <v>93</v>
      </c>
      <c r="E14" s="27" t="s">
        <v>59</v>
      </c>
      <c r="F14" s="27" t="s">
        <v>94</v>
      </c>
      <c r="G14" s="28"/>
    </row>
    <row r="15" spans="1:7">
      <c r="A15" s="26" t="s">
        <v>95</v>
      </c>
      <c r="B15" s="27" t="s">
        <v>56</v>
      </c>
      <c r="C15" s="27" t="s">
        <v>56</v>
      </c>
      <c r="D15" s="27" t="s">
        <v>96</v>
      </c>
      <c r="E15" s="27" t="s">
        <v>59</v>
      </c>
      <c r="F15" s="27" t="s">
        <v>94</v>
      </c>
      <c r="G15" s="27" t="s">
        <v>97</v>
      </c>
    </row>
    <row r="16" spans="1:7">
      <c r="A16" s="26" t="s">
        <v>98</v>
      </c>
      <c r="B16" s="27" t="s">
        <v>56</v>
      </c>
      <c r="C16" s="27" t="s">
        <v>64</v>
      </c>
      <c r="D16" s="27" t="s">
        <v>99</v>
      </c>
      <c r="E16" s="27" t="s">
        <v>59</v>
      </c>
      <c r="F16" s="27" t="s">
        <v>94</v>
      </c>
      <c r="G16" s="28"/>
    </row>
    <row r="17" spans="1:7">
      <c r="A17" s="26" t="s">
        <v>100</v>
      </c>
      <c r="B17" s="27" t="s">
        <v>101</v>
      </c>
      <c r="C17" s="27" t="s">
        <v>57</v>
      </c>
      <c r="D17" s="27" t="s">
        <v>102</v>
      </c>
      <c r="E17" s="27" t="s">
        <v>103</v>
      </c>
      <c r="F17" s="27" t="s">
        <v>60</v>
      </c>
      <c r="G17" s="27" t="s">
        <v>104</v>
      </c>
    </row>
    <row r="18" spans="1:7">
      <c r="A18" s="26" t="s">
        <v>105</v>
      </c>
      <c r="B18" s="27" t="s">
        <v>101</v>
      </c>
      <c r="C18" s="27" t="s">
        <v>57</v>
      </c>
      <c r="D18" s="27" t="s">
        <v>106</v>
      </c>
      <c r="E18" s="27" t="s">
        <v>103</v>
      </c>
      <c r="F18" s="27" t="s">
        <v>60</v>
      </c>
      <c r="G18" s="27" t="s">
        <v>107</v>
      </c>
    </row>
    <row r="19" spans="1:7">
      <c r="A19" s="26" t="s">
        <v>108</v>
      </c>
      <c r="B19" s="27" t="s">
        <v>101</v>
      </c>
      <c r="C19" s="27" t="s">
        <v>109</v>
      </c>
      <c r="D19" s="27" t="s">
        <v>110</v>
      </c>
      <c r="E19" s="27" t="s">
        <v>103</v>
      </c>
      <c r="F19" s="27" t="s">
        <v>60</v>
      </c>
      <c r="G19" s="27" t="s">
        <v>111</v>
      </c>
    </row>
    <row r="20" spans="1:7">
      <c r="A20" s="26" t="s">
        <v>112</v>
      </c>
      <c r="B20" s="27" t="s">
        <v>101</v>
      </c>
      <c r="C20" s="27" t="s">
        <v>57</v>
      </c>
      <c r="D20" s="27" t="s">
        <v>113</v>
      </c>
      <c r="E20" s="27" t="s">
        <v>103</v>
      </c>
      <c r="F20" s="27" t="s">
        <v>60</v>
      </c>
      <c r="G20" s="27" t="s">
        <v>114</v>
      </c>
    </row>
    <row r="21" spans="1:7">
      <c r="A21" s="26" t="s">
        <v>115</v>
      </c>
      <c r="B21" s="27" t="s">
        <v>101</v>
      </c>
      <c r="C21" s="27" t="s">
        <v>64</v>
      </c>
      <c r="D21" s="27" t="s">
        <v>116</v>
      </c>
      <c r="E21" s="27" t="s">
        <v>103</v>
      </c>
      <c r="F21" s="27" t="s">
        <v>60</v>
      </c>
      <c r="G21" s="27" t="s">
        <v>117</v>
      </c>
    </row>
    <row r="22" spans="1:7">
      <c r="A22" s="26" t="s">
        <v>118</v>
      </c>
      <c r="B22" s="27" t="s">
        <v>101</v>
      </c>
      <c r="C22" s="27" t="s">
        <v>57</v>
      </c>
      <c r="D22" s="27" t="s">
        <v>119</v>
      </c>
      <c r="E22" s="27" t="s">
        <v>103</v>
      </c>
      <c r="F22" s="27" t="s">
        <v>60</v>
      </c>
      <c r="G22" s="28"/>
    </row>
    <row r="23" spans="1:7">
      <c r="A23" s="26" t="s">
        <v>120</v>
      </c>
      <c r="B23" s="27" t="s">
        <v>101</v>
      </c>
      <c r="C23" s="27" t="s">
        <v>121</v>
      </c>
      <c r="D23" s="27" t="s">
        <v>122</v>
      </c>
      <c r="E23" s="27" t="s">
        <v>103</v>
      </c>
      <c r="F23" s="27" t="s">
        <v>60</v>
      </c>
      <c r="G23" s="27" t="s">
        <v>123</v>
      </c>
    </row>
    <row r="24" spans="1:7">
      <c r="A24" s="26" t="s">
        <v>124</v>
      </c>
      <c r="B24" s="27" t="s">
        <v>101</v>
      </c>
      <c r="C24" s="27" t="s">
        <v>125</v>
      </c>
      <c r="D24" s="27" t="s">
        <v>126</v>
      </c>
      <c r="E24" s="27" t="s">
        <v>103</v>
      </c>
      <c r="F24" s="27" t="s">
        <v>60</v>
      </c>
      <c r="G24" s="27" t="s">
        <v>127</v>
      </c>
    </row>
    <row r="25" spans="1:7">
      <c r="A25" s="26" t="s">
        <v>128</v>
      </c>
      <c r="B25" s="27" t="s">
        <v>101</v>
      </c>
      <c r="C25" s="27" t="s">
        <v>57</v>
      </c>
      <c r="D25" s="27" t="s">
        <v>129</v>
      </c>
      <c r="E25" s="27" t="s">
        <v>103</v>
      </c>
      <c r="F25" s="27" t="s">
        <v>81</v>
      </c>
      <c r="G25" s="28"/>
    </row>
    <row r="26" spans="1:7">
      <c r="A26" s="26" t="s">
        <v>130</v>
      </c>
      <c r="B26" s="27" t="s">
        <v>101</v>
      </c>
      <c r="C26" s="27" t="s">
        <v>57</v>
      </c>
      <c r="D26" s="27" t="s">
        <v>131</v>
      </c>
      <c r="E26" s="27" t="s">
        <v>103</v>
      </c>
      <c r="F26" s="27" t="s">
        <v>81</v>
      </c>
      <c r="G26" s="27" t="s">
        <v>84</v>
      </c>
    </row>
    <row r="27" spans="1:7">
      <c r="A27" s="26" t="s">
        <v>132</v>
      </c>
      <c r="B27" s="27" t="s">
        <v>101</v>
      </c>
      <c r="C27" s="27" t="s">
        <v>64</v>
      </c>
      <c r="D27" s="27" t="s">
        <v>133</v>
      </c>
      <c r="E27" s="27" t="s">
        <v>103</v>
      </c>
      <c r="F27" s="27" t="s">
        <v>134</v>
      </c>
      <c r="G27" s="27" t="s">
        <v>135</v>
      </c>
    </row>
    <row r="28" spans="1:7">
      <c r="A28" s="26" t="s">
        <v>136</v>
      </c>
      <c r="B28" s="27" t="s">
        <v>101</v>
      </c>
      <c r="C28" s="27" t="s">
        <v>57</v>
      </c>
      <c r="D28" s="27" t="s">
        <v>137</v>
      </c>
      <c r="E28" s="27" t="s">
        <v>103</v>
      </c>
      <c r="F28" s="27" t="s">
        <v>134</v>
      </c>
      <c r="G28" s="27" t="s">
        <v>138</v>
      </c>
    </row>
    <row r="29" spans="1:7">
      <c r="A29" s="26" t="s">
        <v>139</v>
      </c>
      <c r="B29" s="27" t="s">
        <v>101</v>
      </c>
      <c r="C29" s="27" t="s">
        <v>57</v>
      </c>
      <c r="D29" s="27" t="s">
        <v>140</v>
      </c>
      <c r="E29" s="27" t="s">
        <v>103</v>
      </c>
      <c r="F29" s="27" t="s">
        <v>134</v>
      </c>
      <c r="G29" s="28"/>
    </row>
    <row r="30" spans="1:7">
      <c r="A30" s="26" t="s">
        <v>141</v>
      </c>
      <c r="B30" s="27" t="s">
        <v>101</v>
      </c>
      <c r="C30" s="27" t="s">
        <v>57</v>
      </c>
      <c r="D30" s="27" t="s">
        <v>142</v>
      </c>
      <c r="E30" s="27" t="s">
        <v>103</v>
      </c>
      <c r="F30" s="27" t="s">
        <v>143</v>
      </c>
      <c r="G30" s="27" t="s">
        <v>97</v>
      </c>
    </row>
    <row r="31" spans="1:7">
      <c r="A31" s="26" t="s">
        <v>144</v>
      </c>
      <c r="B31" s="27" t="s">
        <v>101</v>
      </c>
      <c r="C31" s="27" t="s">
        <v>57</v>
      </c>
      <c r="D31" s="27" t="s">
        <v>140</v>
      </c>
      <c r="E31" s="27" t="s">
        <v>103</v>
      </c>
      <c r="F31" s="27" t="s">
        <v>94</v>
      </c>
      <c r="G31" s="28"/>
    </row>
    <row r="32" spans="1:7">
      <c r="A32" s="26" t="s">
        <v>145</v>
      </c>
      <c r="B32" s="27" t="s">
        <v>101</v>
      </c>
      <c r="C32" s="27" t="s">
        <v>146</v>
      </c>
      <c r="D32" s="27" t="s">
        <v>147</v>
      </c>
      <c r="E32" s="27" t="s">
        <v>103</v>
      </c>
      <c r="F32" s="27" t="s">
        <v>60</v>
      </c>
      <c r="G32" s="27" t="s">
        <v>148</v>
      </c>
    </row>
    <row r="33" spans="1:7">
      <c r="A33" s="26" t="s">
        <v>149</v>
      </c>
      <c r="B33" s="27" t="s">
        <v>101</v>
      </c>
      <c r="C33" s="27" t="s">
        <v>150</v>
      </c>
      <c r="D33" s="27" t="s">
        <v>151</v>
      </c>
      <c r="E33" s="27" t="s">
        <v>103</v>
      </c>
      <c r="F33" s="27" t="s">
        <v>60</v>
      </c>
      <c r="G33" s="27" t="s">
        <v>148</v>
      </c>
    </row>
    <row r="34" spans="1:7">
      <c r="A34" s="26" t="s">
        <v>152</v>
      </c>
      <c r="B34" s="27" t="s">
        <v>153</v>
      </c>
      <c r="C34" s="27" t="s">
        <v>154</v>
      </c>
      <c r="D34" s="27" t="s">
        <v>155</v>
      </c>
      <c r="E34" s="27" t="s">
        <v>103</v>
      </c>
      <c r="F34" s="27" t="s">
        <v>60</v>
      </c>
      <c r="G34" s="27" t="s">
        <v>148</v>
      </c>
    </row>
    <row r="35" spans="1:7">
      <c r="A35" s="26" t="s">
        <v>156</v>
      </c>
      <c r="B35" s="27" t="s">
        <v>157</v>
      </c>
      <c r="C35" s="27" t="s">
        <v>64</v>
      </c>
      <c r="D35" s="27" t="s">
        <v>158</v>
      </c>
      <c r="E35" s="27" t="s">
        <v>103</v>
      </c>
      <c r="F35" s="27" t="s">
        <v>60</v>
      </c>
      <c r="G35" s="27" t="s">
        <v>159</v>
      </c>
    </row>
    <row r="36" spans="1:7">
      <c r="A36" s="26" t="s">
        <v>160</v>
      </c>
      <c r="B36" s="27" t="s">
        <v>157</v>
      </c>
      <c r="C36" s="27" t="s">
        <v>57</v>
      </c>
      <c r="D36" s="27" t="s">
        <v>161</v>
      </c>
      <c r="E36" s="27" t="s">
        <v>103</v>
      </c>
      <c r="F36" s="27" t="s">
        <v>60</v>
      </c>
      <c r="G36" s="27" t="s">
        <v>162</v>
      </c>
    </row>
    <row r="37" spans="1:7">
      <c r="A37" s="26" t="s">
        <v>163</v>
      </c>
      <c r="B37" s="27" t="s">
        <v>157</v>
      </c>
      <c r="C37" s="27" t="s">
        <v>164</v>
      </c>
      <c r="D37" s="27" t="s">
        <v>165</v>
      </c>
      <c r="E37" s="27" t="s">
        <v>103</v>
      </c>
      <c r="F37" s="27" t="s">
        <v>60</v>
      </c>
      <c r="G37" s="27" t="s">
        <v>166</v>
      </c>
    </row>
    <row r="38" spans="1:7">
      <c r="A38" s="26" t="s">
        <v>167</v>
      </c>
      <c r="B38" s="27" t="s">
        <v>157</v>
      </c>
      <c r="C38" s="27" t="s">
        <v>57</v>
      </c>
      <c r="D38" s="27" t="s">
        <v>168</v>
      </c>
      <c r="E38" s="27" t="s">
        <v>103</v>
      </c>
      <c r="F38" s="27" t="s">
        <v>60</v>
      </c>
      <c r="G38" s="27" t="s">
        <v>169</v>
      </c>
    </row>
    <row r="39" spans="1:7">
      <c r="A39" s="26" t="s">
        <v>170</v>
      </c>
      <c r="B39" s="27" t="s">
        <v>157</v>
      </c>
      <c r="C39" s="27" t="s">
        <v>171</v>
      </c>
      <c r="D39" s="27" t="s">
        <v>172</v>
      </c>
      <c r="E39" s="27" t="s">
        <v>103</v>
      </c>
      <c r="F39" s="27" t="s">
        <v>60</v>
      </c>
      <c r="G39" s="27" t="s">
        <v>173</v>
      </c>
    </row>
    <row r="40" spans="1:7">
      <c r="A40" s="26" t="s">
        <v>174</v>
      </c>
      <c r="B40" s="27" t="s">
        <v>157</v>
      </c>
      <c r="C40" s="27" t="s">
        <v>171</v>
      </c>
      <c r="D40" s="27" t="s">
        <v>175</v>
      </c>
      <c r="E40" s="27" t="s">
        <v>103</v>
      </c>
      <c r="F40" s="27" t="s">
        <v>60</v>
      </c>
      <c r="G40" s="27" t="s">
        <v>176</v>
      </c>
    </row>
    <row r="41" spans="1:7" ht="17">
      <c r="A41" s="26" t="s">
        <v>177</v>
      </c>
      <c r="B41" s="27" t="s">
        <v>178</v>
      </c>
      <c r="C41" s="27" t="s">
        <v>179</v>
      </c>
      <c r="D41" s="27" t="s">
        <v>180</v>
      </c>
      <c r="E41" s="29" t="s">
        <v>181</v>
      </c>
      <c r="F41" s="27" t="s">
        <v>60</v>
      </c>
      <c r="G41" s="27" t="s">
        <v>182</v>
      </c>
    </row>
    <row r="42" spans="1:7" ht="17">
      <c r="A42" s="26" t="s">
        <v>183</v>
      </c>
      <c r="B42" s="27" t="s">
        <v>178</v>
      </c>
      <c r="C42" s="27" t="s">
        <v>179</v>
      </c>
      <c r="D42" s="27" t="s">
        <v>184</v>
      </c>
      <c r="E42" s="29" t="s">
        <v>181</v>
      </c>
      <c r="F42" s="27" t="s">
        <v>60</v>
      </c>
      <c r="G42" s="28"/>
    </row>
    <row r="43" spans="1:7" ht="17">
      <c r="A43" s="26" t="s">
        <v>185</v>
      </c>
      <c r="B43" s="27" t="s">
        <v>178</v>
      </c>
      <c r="C43" s="27" t="s">
        <v>186</v>
      </c>
      <c r="D43" s="27" t="s">
        <v>187</v>
      </c>
      <c r="E43" s="29" t="s">
        <v>181</v>
      </c>
      <c r="F43" s="27" t="s">
        <v>60</v>
      </c>
      <c r="G43" s="27" t="s">
        <v>188</v>
      </c>
    </row>
    <row r="44" spans="1:7">
      <c r="A44" s="26" t="s">
        <v>189</v>
      </c>
      <c r="B44" s="27" t="s">
        <v>190</v>
      </c>
      <c r="C44" s="27" t="s">
        <v>191</v>
      </c>
      <c r="D44" s="27" t="s">
        <v>192</v>
      </c>
      <c r="E44" s="27" t="s">
        <v>103</v>
      </c>
      <c r="F44" s="27" t="s">
        <v>60</v>
      </c>
      <c r="G44" s="27" t="s">
        <v>193</v>
      </c>
    </row>
    <row r="45" spans="1:7">
      <c r="A45" s="26" t="s">
        <v>194</v>
      </c>
      <c r="B45" s="27" t="s">
        <v>190</v>
      </c>
      <c r="C45" s="27" t="s">
        <v>195</v>
      </c>
      <c r="D45" s="27" t="s">
        <v>196</v>
      </c>
      <c r="E45" s="27" t="s">
        <v>59</v>
      </c>
      <c r="F45" s="27" t="s">
        <v>60</v>
      </c>
      <c r="G45" s="27" t="s">
        <v>197</v>
      </c>
    </row>
    <row r="46" spans="1:7">
      <c r="A46" s="26" t="s">
        <v>198</v>
      </c>
      <c r="B46" s="27" t="s">
        <v>190</v>
      </c>
      <c r="C46" s="27" t="s">
        <v>191</v>
      </c>
      <c r="D46" s="27" t="s">
        <v>199</v>
      </c>
      <c r="E46" s="27" t="s">
        <v>103</v>
      </c>
      <c r="F46" s="27" t="s">
        <v>60</v>
      </c>
      <c r="G46" s="27" t="s">
        <v>200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Design 1 - Integrated Zone</vt:lpstr>
      <vt:lpstr>Design 2 - Two-Up Split</vt:lpstr>
      <vt:lpstr>Design 3 - Zone Color Bar</vt:lpstr>
      <vt:lpstr>Mic Inventory</vt:lpstr>
      <vt:lpstr>'Design 1 - Integrated Zone'!Print_Area</vt:lpstr>
      <vt:lpstr>'Design 2 - Two-Up Split'!Print_Area</vt:lpstr>
      <vt:lpstr>'Design 3 - Zone Color Bar'!Print_Area</vt:lpstr>
      <vt:lpstr>'Mic Inventory'!Print_Area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Lloyd</cp:lastModifiedBy>
  <dcterms:created xsi:type="dcterms:W3CDTF">2026-07-19T16:12:17Z</dcterms:created>
  <dcterms:modified xsi:type="dcterms:W3CDTF">2026-07-19T16:47:25Z</dcterms:modified>
</cp:coreProperties>
</file>