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ign 1 - Integrated Zone" sheetId="1" state="visible" r:id="rId1"/>
    <sheet xmlns:r="http://schemas.openxmlformats.org/officeDocument/2006/relationships" name="Design 2 - Two-Up Split" sheetId="2" state="visible" r:id="rId2"/>
    <sheet xmlns:r="http://schemas.openxmlformats.org/officeDocument/2006/relationships" name="Design 3 - Zone Color Bar" sheetId="3" state="visible" r:id="rId3"/>
    <sheet xmlns:r="http://schemas.openxmlformats.org/officeDocument/2006/relationships" name="Mic Inventory" sheetId="4" state="visible" r:id="rId4"/>
  </sheets>
  <definedNames>
    <definedName name="_xlnm.Print_Area" localSheetId="0">'Design 1 - Integrated Zone'!$A$1:$T$37</definedName>
    <definedName name="_xlnm.Print_Area" localSheetId="1">'Design 2 - Two-Up Split'!$A$1:$V$46</definedName>
    <definedName name="_xlnm.Print_Area" localSheetId="2">'Design 3 - Zone Color Bar'!$A$1:$T$37</definedName>
    <definedName name="_xlnm.Print_Area" localSheetId="3">'Mic Inventory'!$A$1:$G$46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FFFFFF"/>
      <sz val="8.5"/>
    </font>
    <font>
      <name val="Calibri"/>
      <i val="1"/>
      <color rgb="006B7280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i val="1"/>
      <color rgb="006B7280"/>
      <sz val="8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i val="1"/>
      <color rgb="00FFFFFF"/>
      <sz val="10"/>
    </font>
    <font>
      <name val="Calibri"/>
      <i val="1"/>
      <color rgb="006B7280"/>
      <sz val="10.5"/>
    </font>
    <font>
      <name val="Calibri"/>
      <color rgb="00000000"/>
      <sz val="10.5"/>
    </font>
    <font>
      <name val="Calibri"/>
      <b val="1"/>
      <color rgb="00FFFFFF"/>
      <sz val="12"/>
    </font>
    <font>
      <name val="Calibri"/>
      <b val="1"/>
      <color rgb="00000000"/>
      <sz val="11"/>
    </font>
    <font>
      <name val="Calibri"/>
      <color rgb="00000000"/>
      <sz val="11"/>
    </font>
    <font>
      <name val="Helvetica Neue"/>
      <b val="1"/>
      <color rgb="FF000000"/>
    </font>
    <font>
      <name val="Helvetica Neue"/>
      <color rgb="FF000000"/>
    </font>
    <font>
      <name val="Arial"/>
      <color theme="1"/>
      <scheme val="minor"/>
    </font>
    <font>
      <name val="Hiragino Sans"/>
      <color rgb="FF000000"/>
    </font>
    <font>
      <name val="Consolas"/>
      <i val="1"/>
      <color rgb="006B7280"/>
      <sz val="9"/>
    </font>
    <font>
      <name val="Consolas"/>
      <color rgb="00000000"/>
      <sz val="9"/>
    </font>
    <font>
      <name val="Consolas"/>
      <i val="1"/>
      <color rgb="006B7280"/>
      <sz val="10.5"/>
    </font>
    <font>
      <name val="Consolas"/>
      <color rgb="00000000"/>
      <sz val="10.5"/>
    </font>
    <font>
      <name val="Calibri"/>
      <sz val="9"/>
    </font>
    <font>
      <name val="Calibri"/>
      <b val="1"/>
      <color rgb="00FFFFFF"/>
      <sz val="8.5"/>
    </font>
    <font>
      <name val="Calibri"/>
      <i val="1"/>
      <color rgb="00FFFFFF"/>
      <sz val="9.5"/>
    </font>
    <font>
      <name val="Calibri"/>
      <b val="1"/>
      <color rgb="006B7280"/>
      <sz val="10.5"/>
    </font>
    <font>
      <name val="Calibri"/>
      <b val="1"/>
      <color rgb="006B7280"/>
      <sz val="9"/>
    </font>
    <font>
      <name val="Calibri"/>
      <i val="1"/>
      <color rgb="006B7280"/>
      <sz val="8.5"/>
    </font>
    <font>
      <name val="Consolas"/>
      <color rgb="00FFFFFF"/>
      <sz val="9"/>
    </font>
  </fonts>
  <fills count="1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111827"/>
      </patternFill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F4F0E8"/>
      </patternFill>
    </fill>
    <fill>
      <patternFill patternType="solid">
        <fgColor rgb="00E06666"/>
      </patternFill>
    </fill>
    <fill>
      <patternFill patternType="solid">
        <fgColor rgb="0093C47D"/>
      </patternFill>
    </fill>
    <fill>
      <patternFill patternType="solid">
        <fgColor rgb="003C78D8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  <border>
      <left/>
      <right/>
      <top style="thin">
        <color rgb="009CA3AF"/>
      </top>
      <bottom/>
      <diagonal/>
    </border>
    <border>
      <left/>
      <right style="thin">
        <color rgb="009CA3AF"/>
      </right>
      <top style="thin">
        <color rgb="009CA3AF"/>
      </top>
      <bottom/>
      <diagonal/>
    </border>
    <border>
      <left/>
      <right style="thin">
        <color rgb="009CA3AF"/>
      </right>
      <top style="thin">
        <color rgb="009CA3AF"/>
      </top>
      <bottom style="thin">
        <color rgb="009CA3A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/>
    <border>
      <left/>
      <right/>
      <top style="thin">
        <color rgb="009CA3AF"/>
      </top>
      <bottom style="thin">
        <color rgb="009CA3AF"/>
      </bottom>
      <diagonal/>
    </border>
    <border>
      <left style="thin">
        <color rgb="009CA3AF"/>
      </left>
      <top style="thin">
        <color rgb="009CA3AF"/>
      </top>
      <bottom style="thin">
        <color rgb="009CA3AF"/>
      </bottom>
    </border>
    <border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 indent="1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left" vertical="center" indent="1"/>
    </xf>
    <xf numFmtId="0" fontId="11" fillId="3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center"/>
    </xf>
    <xf numFmtId="0" fontId="16" fillId="7" borderId="1" applyAlignment="1" pivotButton="0" quotePrefix="0" xfId="0">
      <alignment horizontal="left" vertical="center"/>
    </xf>
    <xf numFmtId="0" fontId="0" fillId="0" borderId="1" pivotButton="0" quotePrefix="0" xfId="0"/>
    <xf numFmtId="0" fontId="17" fillId="11" borderId="5" applyAlignment="1" pivotButton="0" quotePrefix="0" xfId="0">
      <alignment vertical="top"/>
    </xf>
    <xf numFmtId="0" fontId="17" fillId="12" borderId="5" applyAlignment="1" pivotButton="0" quotePrefix="0" xfId="0">
      <alignment vertical="top"/>
    </xf>
    <xf numFmtId="0" fontId="18" fillId="0" borderId="5" applyAlignment="1" pivotButton="0" quotePrefix="0" xfId="0">
      <alignment vertical="top"/>
    </xf>
    <xf numFmtId="0" fontId="19" fillId="0" borderId="5" applyAlignment="1" pivotButton="0" quotePrefix="0" xfId="0">
      <alignment vertical="top"/>
    </xf>
    <xf numFmtId="0" fontId="20" fillId="0" borderId="5" applyAlignment="1" pivotButton="0" quotePrefix="0" xfId="0">
      <alignment vertical="top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0" borderId="7" pivotButton="0" quotePrefix="0" xfId="0"/>
    <xf numFmtId="0" fontId="26" fillId="8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center"/>
    </xf>
    <xf numFmtId="0" fontId="26" fillId="9" borderId="1" applyAlignment="1" pivotButton="0" quotePrefix="0" xfId="0">
      <alignment horizontal="left" vertical="center"/>
    </xf>
    <xf numFmtId="0" fontId="26" fillId="10" borderId="1" applyAlignment="1" pivotButton="0" quotePrefix="0" xfId="0">
      <alignment horizontal="center" vertical="center"/>
    </xf>
    <xf numFmtId="0" fontId="26" fillId="1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7" fillId="3" borderId="0" applyAlignment="1" pivotButton="0" quotePrefix="0" xfId="0">
      <alignment horizontal="left" vertical="center" wrapText="1" indent="1"/>
    </xf>
    <xf numFmtId="0" fontId="28" fillId="5" borderId="1" applyAlignment="1" pivotButton="0" quotePrefix="0" xfId="0">
      <alignment horizontal="left" vertical="center"/>
    </xf>
    <xf numFmtId="164" fontId="29" fillId="5" borderId="8" applyAlignment="1" pivotButton="0" quotePrefix="0" xfId="0">
      <alignment horizontal="center" vertical="center"/>
    </xf>
    <xf numFmtId="0" fontId="23" fillId="5" borderId="9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 wrapText="1"/>
    </xf>
    <xf numFmtId="164" fontId="6" fillId="6" borderId="8" applyAlignment="1" pivotButton="0" quotePrefix="0" xfId="0">
      <alignment horizontal="center" vertical="center"/>
    </xf>
    <xf numFmtId="0" fontId="24" fillId="6" borderId="9" applyAlignment="1" pivotButton="0" quotePrefix="0" xfId="0">
      <alignment horizontal="center" vertical="center"/>
    </xf>
    <xf numFmtId="164" fontId="6" fillId="5" borderId="8" applyAlignment="1" pivotButton="0" quotePrefix="0" xfId="0">
      <alignment horizontal="center" vertical="center"/>
    </xf>
    <xf numFmtId="0" fontId="24" fillId="5" borderId="9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center" vertical="center"/>
    </xf>
    <xf numFmtId="0" fontId="31" fillId="10" borderId="1" applyAlignment="1" pivotButton="0" quotePrefix="0" xfId="0">
      <alignment horizontal="center" vertical="center"/>
    </xf>
    <xf numFmtId="0" fontId="22" fillId="9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27" fillId="3" borderId="0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4" borderId="0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E06666"/>
        </patternFill>
      </fill>
    </dxf>
    <dxf>
      <fill>
        <patternFill patternType="solid">
          <fgColor rgb="0093C47D"/>
        </patternFill>
      </fill>
    </dxf>
    <dxf>
      <fill>
        <patternFill patternType="solid">
          <fgColor rgb="003C78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4" customWidth="1" min="3" max="3"/>
    <col width="9" customWidth="1" min="4" max="4"/>
    <col width="9" customWidth="1" min="5" max="5"/>
    <col width="6" customWidth="1" min="6" max="6"/>
    <col width="9" customWidth="1" min="7" max="7"/>
    <col width="30" customWidth="1" min="8" max="8"/>
    <col width="2.5" customWidth="1" min="9" max="9"/>
    <col width="13" customWidth="1" min="10" max="10"/>
    <col width="15" customWidth="1" min="11" max="11"/>
    <col width="18" customWidth="1" min="12" max="12"/>
    <col width="2" customWidth="1" min="13" max="13"/>
    <col width="5" customWidth="1" min="14" max="14"/>
    <col width="6" customWidth="1" min="15" max="15"/>
    <col width="18" customWidth="1" min="16" max="16"/>
    <col width="2" customWidth="1" min="17" max="17"/>
    <col width="5" customWidth="1" min="18" max="18"/>
    <col width="6" customWidth="1" min="19" max="19"/>
    <col width="18" customWidth="1" min="20" max="20"/>
    <col hidden="1" width="1" customWidth="1" min="22" max="22"/>
  </cols>
  <sheetData>
    <row r="1" ht="26" customHeight="1">
      <c r="A1" s="1" t="inlineStr">
        <is>
          <t>INPUT LIST — MASTER TEMPLATE</t>
        </is>
      </c>
    </row>
    <row r="2" ht="16" customHeight="1">
      <c r="A2" s="2" t="inlineStr">
        <is>
          <t>Show:</t>
        </is>
      </c>
      <c r="B2" s="3" t="n"/>
      <c r="C2" s="2" t="inlineStr">
        <is>
          <t>Venue:</t>
        </is>
      </c>
      <c r="D2" s="3" t="n"/>
      <c r="E2" s="3" t="n"/>
      <c r="F2" s="2" t="inlineStr">
        <is>
          <t>Date:</t>
        </is>
      </c>
      <c r="G2" s="3" t="n"/>
      <c r="H2" s="2" t="inlineStr">
        <is>
          <t>FOH:</t>
        </is>
      </c>
      <c r="I2" s="3" t="n"/>
      <c r="J2" s="2" t="inlineStr">
        <is>
          <t>MON:</t>
        </is>
      </c>
      <c r="K2" s="3" t="n"/>
    </row>
    <row r="3" ht="22" customHeight="1">
      <c r="A3" s="4" t="inlineStr">
        <is>
          <t>Zone key: RED = Stage Box/Snake 1–16   GREEN = Stage Box/Snake 1–12   BLUE = Stage Box/Snake 1–12   |   Zone + Patch # together locate the physical patch point. Row 6 is a filled example — clear before a show.</t>
        </is>
      </c>
    </row>
    <row r="4" ht="4" customHeight="1"/>
    <row r="5" ht="18" customHeight="1">
      <c r="A5" s="5" t="inlineStr">
        <is>
          <t>Ch</t>
        </is>
      </c>
      <c r="B5" s="5" t="inlineStr">
        <is>
          <t>Instrument</t>
        </is>
      </c>
      <c r="C5" s="5" t="inlineStr">
        <is>
          <t>Mic/DI</t>
        </is>
      </c>
      <c r="D5" s="5" t="inlineStr">
        <is>
          <t>Zone</t>
        </is>
      </c>
      <c r="E5" s="5" t="inlineStr">
        <is>
          <t>Patch #</t>
        </is>
      </c>
      <c r="F5" s="5" t="inlineStr">
        <is>
          <t>48V</t>
        </is>
      </c>
      <c r="G5" s="5" t="inlineStr">
        <is>
          <t>Stand</t>
        </is>
      </c>
      <c r="H5" s="5" t="inlineStr">
        <is>
          <t>Notes</t>
        </is>
      </c>
      <c r="J5" s="6" t="inlineStr">
        <is>
          <t>MIXES / AUX</t>
        </is>
      </c>
      <c r="K5" s="7" t="n"/>
    </row>
    <row r="6" ht="15" customHeight="1">
      <c r="A6" s="45" t="inlineStr">
        <is>
          <t>1</t>
        </is>
      </c>
      <c r="B6" s="9" t="inlineStr">
        <is>
          <t>Kick In</t>
        </is>
      </c>
      <c r="C6" s="9" t="inlineStr">
        <is>
          <t>DM6</t>
        </is>
      </c>
      <c r="D6" s="8" t="inlineStr">
        <is>
          <t>Red</t>
        </is>
      </c>
      <c r="E6" s="45" t="inlineStr">
        <is>
          <t>3</t>
        </is>
      </c>
      <c r="F6" s="8" t="inlineStr">
        <is>
          <t>✓</t>
        </is>
      </c>
      <c r="G6" s="9" t="inlineStr">
        <is>
          <t>Short</t>
        </is>
      </c>
      <c r="H6" s="10" t="inlineStr">
        <is>
          <t>EXAMPLE — delete before show</t>
        </is>
      </c>
      <c r="J6" s="11" t="inlineStr">
        <is>
          <t>Mix 1</t>
        </is>
      </c>
      <c r="K6" s="12" t="inlineStr"/>
      <c r="V6">
        <f>IF(OR($D6="",$E6=""),"",$D6&amp;"-"&amp;$E6)</f>
        <v/>
      </c>
    </row>
    <row r="7" ht="15" customHeight="1">
      <c r="A7" s="46" t="n">
        <v>2</v>
      </c>
      <c r="B7" s="14" t="n"/>
      <c r="C7" s="14" t="n"/>
      <c r="D7" s="13" t="n"/>
      <c r="E7" s="46" t="n"/>
      <c r="F7" s="13" t="n"/>
      <c r="G7" s="14" t="n"/>
      <c r="H7" s="15" t="n"/>
      <c r="J7" s="11" t="inlineStr">
        <is>
          <t>Mix 2</t>
        </is>
      </c>
      <c r="K7" s="12" t="inlineStr"/>
      <c r="V7">
        <f>IF(OR($D7="",$E7=""),"",$D7&amp;"-"&amp;$E7)</f>
        <v/>
      </c>
    </row>
    <row r="8" ht="15" customHeight="1">
      <c r="A8" s="47" t="n">
        <v>3</v>
      </c>
      <c r="B8" s="17" t="n"/>
      <c r="C8" s="17" t="n"/>
      <c r="D8" s="16" t="n"/>
      <c r="E8" s="47" t="n"/>
      <c r="F8" s="16" t="n"/>
      <c r="G8" s="17" t="n"/>
      <c r="H8" s="18" t="n"/>
      <c r="J8" s="11" t="inlineStr">
        <is>
          <t>Mix 3</t>
        </is>
      </c>
      <c r="K8" s="12" t="inlineStr"/>
      <c r="V8">
        <f>IF(OR($D8="",$E8=""),"",$D8&amp;"-"&amp;$E8)</f>
        <v/>
      </c>
    </row>
    <row r="9" ht="15" customHeight="1">
      <c r="A9" s="46" t="n">
        <v>4</v>
      </c>
      <c r="B9" s="14" t="n"/>
      <c r="C9" s="14" t="n"/>
      <c r="D9" s="13" t="n"/>
      <c r="E9" s="46" t="n"/>
      <c r="F9" s="13" t="n"/>
      <c r="G9" s="14" t="n"/>
      <c r="H9" s="15" t="n"/>
      <c r="J9" s="11" t="inlineStr">
        <is>
          <t>Mix 4</t>
        </is>
      </c>
      <c r="K9" s="12" t="inlineStr"/>
      <c r="V9">
        <f>IF(OR($D9="",$E9=""),"",$D9&amp;"-"&amp;$E9)</f>
        <v/>
      </c>
    </row>
    <row r="10" ht="15" customHeight="1">
      <c r="A10" s="47" t="n">
        <v>5</v>
      </c>
      <c r="B10" s="17" t="n"/>
      <c r="C10" s="17" t="n"/>
      <c r="D10" s="16" t="n"/>
      <c r="E10" s="47" t="n"/>
      <c r="F10" s="16" t="n"/>
      <c r="G10" s="17" t="n"/>
      <c r="H10" s="18" t="n"/>
      <c r="J10" s="11" t="inlineStr">
        <is>
          <t>Mix 5</t>
        </is>
      </c>
      <c r="K10" s="12" t="inlineStr"/>
      <c r="V10">
        <f>IF(OR($D10="",$E10=""),"",$D10&amp;"-"&amp;$E10)</f>
        <v/>
      </c>
    </row>
    <row r="11" ht="15" customHeight="1">
      <c r="A11" s="46" t="n">
        <v>6</v>
      </c>
      <c r="B11" s="14" t="n"/>
      <c r="C11" s="14" t="n"/>
      <c r="D11" s="13" t="n"/>
      <c r="E11" s="46" t="n"/>
      <c r="F11" s="13" t="n"/>
      <c r="G11" s="14" t="n"/>
      <c r="H11" s="15" t="n"/>
      <c r="J11" s="11" t="inlineStr">
        <is>
          <t>Mix 6</t>
        </is>
      </c>
      <c r="K11" s="12" t="inlineStr"/>
      <c r="V11">
        <f>IF(OR($D11="",$E11=""),"",$D11&amp;"-"&amp;$E11)</f>
        <v/>
      </c>
    </row>
    <row r="12" ht="15" customHeight="1">
      <c r="A12" s="47" t="n">
        <v>7</v>
      </c>
      <c r="B12" s="17" t="n"/>
      <c r="C12" s="17" t="n"/>
      <c r="D12" s="16" t="n"/>
      <c r="E12" s="47" t="n"/>
      <c r="F12" s="16" t="n"/>
      <c r="G12" s="17" t="n"/>
      <c r="H12" s="18" t="n"/>
      <c r="V12">
        <f>IF(OR($D12="",$E12=""),"",$D12&amp;"-"&amp;$E12)</f>
        <v/>
      </c>
    </row>
    <row r="13" ht="16" customHeight="1">
      <c r="A13" s="46" t="n">
        <v>8</v>
      </c>
      <c r="B13" s="14" t="n"/>
      <c r="C13" s="14" t="n"/>
      <c r="D13" s="13" t="n"/>
      <c r="E13" s="46" t="n"/>
      <c r="F13" s="13" t="n"/>
      <c r="G13" s="14" t="n"/>
      <c r="H13" s="15" t="n"/>
      <c r="J13" s="51" t="inlineStr">
        <is>
          <t>SNAKE PATCH SHEETS — auto-fills from the channel grid</t>
        </is>
      </c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7" t="n"/>
      <c r="V13">
        <f>IF(OR($D13="",$E13=""),"",$D13&amp;"-"&amp;$E13)</f>
        <v/>
      </c>
    </row>
    <row r="14" ht="15" customHeight="1">
      <c r="A14" s="47" t="n">
        <v>9</v>
      </c>
      <c r="B14" s="17" t="n"/>
      <c r="C14" s="17" t="n"/>
      <c r="D14" s="16" t="n"/>
      <c r="E14" s="47" t="n"/>
      <c r="F14" s="16" t="n"/>
      <c r="G14" s="17" t="n"/>
      <c r="H14" s="18" t="n"/>
      <c r="J14" s="53" t="inlineStr">
        <is>
          <t>Loc</t>
        </is>
      </c>
      <c r="K14" s="53" t="inlineStr">
        <is>
          <t>Ch</t>
        </is>
      </c>
      <c r="L14" s="54" t="inlineStr">
        <is>
          <t>Instrument</t>
        </is>
      </c>
      <c r="N14" s="55" t="inlineStr">
        <is>
          <t>Loc</t>
        </is>
      </c>
      <c r="O14" s="55" t="inlineStr">
        <is>
          <t>Ch</t>
        </is>
      </c>
      <c r="P14" s="56" t="inlineStr">
        <is>
          <t>Instrument</t>
        </is>
      </c>
      <c r="R14" s="57" t="inlineStr">
        <is>
          <t>Loc</t>
        </is>
      </c>
      <c r="S14" s="57" t="inlineStr">
        <is>
          <t>Ch</t>
        </is>
      </c>
      <c r="T14" s="58" t="inlineStr">
        <is>
          <t>Instrument</t>
        </is>
      </c>
      <c r="V14">
        <f>IF(OR($D14="",$E14=""),"",$D14&amp;"-"&amp;$E14)</f>
        <v/>
      </c>
    </row>
    <row r="15" ht="15" customHeight="1">
      <c r="A15" s="46" t="n">
        <v>10</v>
      </c>
      <c r="B15" s="14" t="n"/>
      <c r="C15" s="14" t="n"/>
      <c r="D15" s="13" t="n"/>
      <c r="E15" s="46" t="n"/>
      <c r="F15" s="13" t="n"/>
      <c r="G15" s="14" t="n"/>
      <c r="H15" s="15" t="n"/>
      <c r="J15" s="16" t="n">
        <v>1</v>
      </c>
      <c r="K15" s="16">
        <f>IFERROR(INDEX($A$6:$A$37,MATCH("Red-"&amp;J15,$V$6:$V$37,0)),"")</f>
        <v/>
      </c>
      <c r="L15" s="17">
        <f>IFERROR(INDEX($B$6:$B$37,MATCH("Red-"&amp;J15,$V$6:$V$37,0)),"")</f>
        <v/>
      </c>
      <c r="N15" s="16" t="n">
        <v>1</v>
      </c>
      <c r="O15" s="16">
        <f>IFERROR(INDEX($A$6:$A$37,MATCH("Green-"&amp;N15,$V$6:$V$37,0)),"")</f>
        <v/>
      </c>
      <c r="P15" s="17">
        <f>IFERROR(INDEX($B$6:$B$37,MATCH("Green-"&amp;N15,$V$6:$V$37,0)),"")</f>
        <v/>
      </c>
      <c r="R15" s="16" t="n">
        <v>1</v>
      </c>
      <c r="S15" s="16">
        <f>IFERROR(INDEX($A$6:$A$37,MATCH("Blue-"&amp;R15,$V$6:$V$37,0)),"")</f>
        <v/>
      </c>
      <c r="T15" s="17">
        <f>IFERROR(INDEX($B$6:$B$37,MATCH("Blue-"&amp;R15,$V$6:$V$37,0)),"")</f>
        <v/>
      </c>
      <c r="V15">
        <f>IF(OR($D15="",$E15=""),"",$D15&amp;"-"&amp;$E15)</f>
        <v/>
      </c>
    </row>
    <row r="16" ht="15" customHeight="1">
      <c r="A16" s="47" t="n">
        <v>11</v>
      </c>
      <c r="B16" s="17" t="n"/>
      <c r="C16" s="17" t="n"/>
      <c r="D16" s="16" t="n"/>
      <c r="E16" s="47" t="n"/>
      <c r="F16" s="16" t="n"/>
      <c r="G16" s="17" t="n"/>
      <c r="H16" s="18" t="n"/>
      <c r="J16" s="13" t="n">
        <v>2</v>
      </c>
      <c r="K16" s="13">
        <f>IFERROR(INDEX($A$6:$A$37,MATCH("Red-"&amp;J16,$V$6:$V$37,0)),"")</f>
        <v/>
      </c>
      <c r="L16" s="14">
        <f>IFERROR(INDEX($B$6:$B$37,MATCH("Red-"&amp;J16,$V$6:$V$37,0)),"")</f>
        <v/>
      </c>
      <c r="N16" s="13" t="n">
        <v>2</v>
      </c>
      <c r="O16" s="13">
        <f>IFERROR(INDEX($A$6:$A$37,MATCH("Green-"&amp;N16,$V$6:$V$37,0)),"")</f>
        <v/>
      </c>
      <c r="P16" s="14">
        <f>IFERROR(INDEX($B$6:$B$37,MATCH("Green-"&amp;N16,$V$6:$V$37,0)),"")</f>
        <v/>
      </c>
      <c r="R16" s="13" t="n">
        <v>2</v>
      </c>
      <c r="S16" s="13">
        <f>IFERROR(INDEX($A$6:$A$37,MATCH("Blue-"&amp;R16,$V$6:$V$37,0)),"")</f>
        <v/>
      </c>
      <c r="T16" s="14">
        <f>IFERROR(INDEX($B$6:$B$37,MATCH("Blue-"&amp;R16,$V$6:$V$37,0)),"")</f>
        <v/>
      </c>
      <c r="V16">
        <f>IF(OR($D16="",$E16=""),"",$D16&amp;"-"&amp;$E16)</f>
        <v/>
      </c>
    </row>
    <row r="17" ht="15" customHeight="1">
      <c r="A17" s="46" t="n">
        <v>12</v>
      </c>
      <c r="B17" s="14" t="n"/>
      <c r="C17" s="14" t="n"/>
      <c r="D17" s="13" t="n"/>
      <c r="E17" s="46" t="n"/>
      <c r="F17" s="13" t="n"/>
      <c r="G17" s="14" t="n"/>
      <c r="H17" s="15" t="n"/>
      <c r="J17" s="16" t="n">
        <v>3</v>
      </c>
      <c r="K17" s="16">
        <f>IFERROR(INDEX($A$6:$A$37,MATCH("Red-"&amp;J17,$V$6:$V$37,0)),"")</f>
        <v/>
      </c>
      <c r="L17" s="17">
        <f>IFERROR(INDEX($B$6:$B$37,MATCH("Red-"&amp;J17,$V$6:$V$37,0)),"")</f>
        <v/>
      </c>
      <c r="N17" s="16" t="n">
        <v>3</v>
      </c>
      <c r="O17" s="16">
        <f>IFERROR(INDEX($A$6:$A$37,MATCH("Green-"&amp;N17,$V$6:$V$37,0)),"")</f>
        <v/>
      </c>
      <c r="P17" s="17">
        <f>IFERROR(INDEX($B$6:$B$37,MATCH("Green-"&amp;N17,$V$6:$V$37,0)),"")</f>
        <v/>
      </c>
      <c r="R17" s="16" t="n">
        <v>3</v>
      </c>
      <c r="S17" s="16">
        <f>IFERROR(INDEX($A$6:$A$37,MATCH("Blue-"&amp;R17,$V$6:$V$37,0)),"")</f>
        <v/>
      </c>
      <c r="T17" s="17">
        <f>IFERROR(INDEX($B$6:$B$37,MATCH("Blue-"&amp;R17,$V$6:$V$37,0)),"")</f>
        <v/>
      </c>
      <c r="V17">
        <f>IF(OR($D17="",$E17=""),"",$D17&amp;"-"&amp;$E17)</f>
        <v/>
      </c>
    </row>
    <row r="18" ht="15" customHeight="1">
      <c r="A18" s="47" t="n">
        <v>13</v>
      </c>
      <c r="B18" s="17" t="n"/>
      <c r="C18" s="17" t="n"/>
      <c r="D18" s="16" t="n"/>
      <c r="E18" s="47" t="n"/>
      <c r="F18" s="16" t="n"/>
      <c r="G18" s="17" t="n"/>
      <c r="H18" s="18" t="n"/>
      <c r="J18" s="13" t="n">
        <v>4</v>
      </c>
      <c r="K18" s="13">
        <f>IFERROR(INDEX($A$6:$A$37,MATCH("Red-"&amp;J18,$V$6:$V$37,0)),"")</f>
        <v/>
      </c>
      <c r="L18" s="14">
        <f>IFERROR(INDEX($B$6:$B$37,MATCH("Red-"&amp;J18,$V$6:$V$37,0)),"")</f>
        <v/>
      </c>
      <c r="N18" s="13" t="n">
        <v>4</v>
      </c>
      <c r="O18" s="13">
        <f>IFERROR(INDEX($A$6:$A$37,MATCH("Green-"&amp;N18,$V$6:$V$37,0)),"")</f>
        <v/>
      </c>
      <c r="P18" s="14">
        <f>IFERROR(INDEX($B$6:$B$37,MATCH("Green-"&amp;N18,$V$6:$V$37,0)),"")</f>
        <v/>
      </c>
      <c r="R18" s="13" t="n">
        <v>4</v>
      </c>
      <c r="S18" s="13">
        <f>IFERROR(INDEX($A$6:$A$37,MATCH("Blue-"&amp;R18,$V$6:$V$37,0)),"")</f>
        <v/>
      </c>
      <c r="T18" s="14">
        <f>IFERROR(INDEX($B$6:$B$37,MATCH("Blue-"&amp;R18,$V$6:$V$37,0)),"")</f>
        <v/>
      </c>
      <c r="V18">
        <f>IF(OR($D18="",$E18=""),"",$D18&amp;"-"&amp;$E18)</f>
        <v/>
      </c>
    </row>
    <row r="19" ht="15" customHeight="1">
      <c r="A19" s="46" t="n">
        <v>14</v>
      </c>
      <c r="B19" s="14" t="n"/>
      <c r="C19" s="14" t="n"/>
      <c r="D19" s="13" t="n"/>
      <c r="E19" s="46" t="n"/>
      <c r="F19" s="13" t="n"/>
      <c r="G19" s="14" t="n"/>
      <c r="H19" s="15" t="n"/>
      <c r="J19" s="16" t="n">
        <v>5</v>
      </c>
      <c r="K19" s="16">
        <f>IFERROR(INDEX($A$6:$A$37,MATCH("Red-"&amp;J19,$V$6:$V$37,0)),"")</f>
        <v/>
      </c>
      <c r="L19" s="17">
        <f>IFERROR(INDEX($B$6:$B$37,MATCH("Red-"&amp;J19,$V$6:$V$37,0)),"")</f>
        <v/>
      </c>
      <c r="N19" s="16" t="n">
        <v>5</v>
      </c>
      <c r="O19" s="16">
        <f>IFERROR(INDEX($A$6:$A$37,MATCH("Green-"&amp;N19,$V$6:$V$37,0)),"")</f>
        <v/>
      </c>
      <c r="P19" s="17">
        <f>IFERROR(INDEX($B$6:$B$37,MATCH("Green-"&amp;N19,$V$6:$V$37,0)),"")</f>
        <v/>
      </c>
      <c r="R19" s="16" t="n">
        <v>5</v>
      </c>
      <c r="S19" s="16">
        <f>IFERROR(INDEX($A$6:$A$37,MATCH("Blue-"&amp;R19,$V$6:$V$37,0)),"")</f>
        <v/>
      </c>
      <c r="T19" s="17">
        <f>IFERROR(INDEX($B$6:$B$37,MATCH("Blue-"&amp;R19,$V$6:$V$37,0)),"")</f>
        <v/>
      </c>
      <c r="V19">
        <f>IF(OR($D19="",$E19=""),"",$D19&amp;"-"&amp;$E19)</f>
        <v/>
      </c>
    </row>
    <row r="20" ht="15" customHeight="1">
      <c r="A20" s="47" t="n">
        <v>15</v>
      </c>
      <c r="B20" s="17" t="n"/>
      <c r="C20" s="17" t="n"/>
      <c r="D20" s="16" t="n"/>
      <c r="E20" s="47" t="n"/>
      <c r="F20" s="16" t="n"/>
      <c r="G20" s="17" t="n"/>
      <c r="H20" s="18" t="n"/>
      <c r="J20" s="13" t="n">
        <v>6</v>
      </c>
      <c r="K20" s="13">
        <f>IFERROR(INDEX($A$6:$A$37,MATCH("Red-"&amp;J20,$V$6:$V$37,0)),"")</f>
        <v/>
      </c>
      <c r="L20" s="14">
        <f>IFERROR(INDEX($B$6:$B$37,MATCH("Red-"&amp;J20,$V$6:$V$37,0)),"")</f>
        <v/>
      </c>
      <c r="N20" s="13" t="n">
        <v>6</v>
      </c>
      <c r="O20" s="13">
        <f>IFERROR(INDEX($A$6:$A$37,MATCH("Green-"&amp;N20,$V$6:$V$37,0)),"")</f>
        <v/>
      </c>
      <c r="P20" s="14">
        <f>IFERROR(INDEX($B$6:$B$37,MATCH("Green-"&amp;N20,$V$6:$V$37,0)),"")</f>
        <v/>
      </c>
      <c r="R20" s="13" t="n">
        <v>6</v>
      </c>
      <c r="S20" s="13">
        <f>IFERROR(INDEX($A$6:$A$37,MATCH("Blue-"&amp;R20,$V$6:$V$37,0)),"")</f>
        <v/>
      </c>
      <c r="T20" s="14">
        <f>IFERROR(INDEX($B$6:$B$37,MATCH("Blue-"&amp;R20,$V$6:$V$37,0)),"")</f>
        <v/>
      </c>
      <c r="V20">
        <f>IF(OR($D20="",$E20=""),"",$D20&amp;"-"&amp;$E20)</f>
        <v/>
      </c>
    </row>
    <row r="21" ht="15" customHeight="1">
      <c r="A21" s="46" t="n">
        <v>16</v>
      </c>
      <c r="B21" s="14" t="n"/>
      <c r="C21" s="14" t="n"/>
      <c r="D21" s="13" t="n"/>
      <c r="E21" s="46" t="n"/>
      <c r="F21" s="13" t="n"/>
      <c r="G21" s="14" t="n"/>
      <c r="H21" s="15" t="n"/>
      <c r="J21" s="16" t="n">
        <v>7</v>
      </c>
      <c r="K21" s="16">
        <f>IFERROR(INDEX($A$6:$A$37,MATCH("Red-"&amp;J21,$V$6:$V$37,0)),"")</f>
        <v/>
      </c>
      <c r="L21" s="17">
        <f>IFERROR(INDEX($B$6:$B$37,MATCH("Red-"&amp;J21,$V$6:$V$37,0)),"")</f>
        <v/>
      </c>
      <c r="N21" s="16" t="n">
        <v>7</v>
      </c>
      <c r="O21" s="16">
        <f>IFERROR(INDEX($A$6:$A$37,MATCH("Green-"&amp;N21,$V$6:$V$37,0)),"")</f>
        <v/>
      </c>
      <c r="P21" s="17">
        <f>IFERROR(INDEX($B$6:$B$37,MATCH("Green-"&amp;N21,$V$6:$V$37,0)),"")</f>
        <v/>
      </c>
      <c r="R21" s="16" t="n">
        <v>7</v>
      </c>
      <c r="S21" s="16">
        <f>IFERROR(INDEX($A$6:$A$37,MATCH("Blue-"&amp;R21,$V$6:$V$37,0)),"")</f>
        <v/>
      </c>
      <c r="T21" s="17">
        <f>IFERROR(INDEX($B$6:$B$37,MATCH("Blue-"&amp;R21,$V$6:$V$37,0)),"")</f>
        <v/>
      </c>
      <c r="V21">
        <f>IF(OR($D21="",$E21=""),"",$D21&amp;"-"&amp;$E21)</f>
        <v/>
      </c>
    </row>
    <row r="22" ht="15" customHeight="1">
      <c r="A22" s="47" t="n">
        <v>17</v>
      </c>
      <c r="B22" s="17" t="n"/>
      <c r="C22" s="17" t="n"/>
      <c r="D22" s="16" t="n"/>
      <c r="E22" s="47" t="n"/>
      <c r="F22" s="16" t="n"/>
      <c r="G22" s="17" t="n"/>
      <c r="H22" s="18" t="n"/>
      <c r="J22" s="13" t="n">
        <v>8</v>
      </c>
      <c r="K22" s="13">
        <f>IFERROR(INDEX($A$6:$A$37,MATCH("Red-"&amp;J22,$V$6:$V$37,0)),"")</f>
        <v/>
      </c>
      <c r="L22" s="14">
        <f>IFERROR(INDEX($B$6:$B$37,MATCH("Red-"&amp;J22,$V$6:$V$37,0)),"")</f>
        <v/>
      </c>
      <c r="N22" s="13" t="n">
        <v>8</v>
      </c>
      <c r="O22" s="13">
        <f>IFERROR(INDEX($A$6:$A$37,MATCH("Green-"&amp;N22,$V$6:$V$37,0)),"")</f>
        <v/>
      </c>
      <c r="P22" s="14">
        <f>IFERROR(INDEX($B$6:$B$37,MATCH("Green-"&amp;N22,$V$6:$V$37,0)),"")</f>
        <v/>
      </c>
      <c r="R22" s="13" t="n">
        <v>8</v>
      </c>
      <c r="S22" s="13">
        <f>IFERROR(INDEX($A$6:$A$37,MATCH("Blue-"&amp;R22,$V$6:$V$37,0)),"")</f>
        <v/>
      </c>
      <c r="T22" s="14">
        <f>IFERROR(INDEX($B$6:$B$37,MATCH("Blue-"&amp;R22,$V$6:$V$37,0)),"")</f>
        <v/>
      </c>
      <c r="V22">
        <f>IF(OR($D22="",$E22=""),"",$D22&amp;"-"&amp;$E22)</f>
        <v/>
      </c>
    </row>
    <row r="23" ht="15" customHeight="1">
      <c r="A23" s="46" t="n">
        <v>18</v>
      </c>
      <c r="B23" s="14" t="n"/>
      <c r="C23" s="14" t="n"/>
      <c r="D23" s="13" t="n"/>
      <c r="E23" s="46" t="n"/>
      <c r="F23" s="13" t="n"/>
      <c r="G23" s="14" t="n"/>
      <c r="H23" s="15" t="n"/>
      <c r="J23" s="16" t="n">
        <v>9</v>
      </c>
      <c r="K23" s="16">
        <f>IFERROR(INDEX($A$6:$A$37,MATCH("Red-"&amp;J23,$V$6:$V$37,0)),"")</f>
        <v/>
      </c>
      <c r="L23" s="17">
        <f>IFERROR(INDEX($B$6:$B$37,MATCH("Red-"&amp;J23,$V$6:$V$37,0)),"")</f>
        <v/>
      </c>
      <c r="N23" s="16" t="n">
        <v>9</v>
      </c>
      <c r="O23" s="16">
        <f>IFERROR(INDEX($A$6:$A$37,MATCH("Green-"&amp;N23,$V$6:$V$37,0)),"")</f>
        <v/>
      </c>
      <c r="P23" s="17">
        <f>IFERROR(INDEX($B$6:$B$37,MATCH("Green-"&amp;N23,$V$6:$V$37,0)),"")</f>
        <v/>
      </c>
      <c r="R23" s="16" t="n">
        <v>9</v>
      </c>
      <c r="S23" s="16">
        <f>IFERROR(INDEX($A$6:$A$37,MATCH("Blue-"&amp;R23,$V$6:$V$37,0)),"")</f>
        <v/>
      </c>
      <c r="T23" s="17">
        <f>IFERROR(INDEX($B$6:$B$37,MATCH("Blue-"&amp;R23,$V$6:$V$37,0)),"")</f>
        <v/>
      </c>
      <c r="V23">
        <f>IF(OR($D23="",$E23=""),"",$D23&amp;"-"&amp;$E23)</f>
        <v/>
      </c>
    </row>
    <row r="24" ht="15" customHeight="1">
      <c r="A24" s="47" t="n">
        <v>19</v>
      </c>
      <c r="B24" s="17" t="n"/>
      <c r="C24" s="17" t="n"/>
      <c r="D24" s="16" t="n"/>
      <c r="E24" s="47" t="n"/>
      <c r="F24" s="16" t="n"/>
      <c r="G24" s="17" t="n"/>
      <c r="H24" s="18" t="n"/>
      <c r="J24" s="13" t="n">
        <v>10</v>
      </c>
      <c r="K24" s="13">
        <f>IFERROR(INDEX($A$6:$A$37,MATCH("Red-"&amp;J24,$V$6:$V$37,0)),"")</f>
        <v/>
      </c>
      <c r="L24" s="14">
        <f>IFERROR(INDEX($B$6:$B$37,MATCH("Red-"&amp;J24,$V$6:$V$37,0)),"")</f>
        <v/>
      </c>
      <c r="N24" s="13" t="n">
        <v>10</v>
      </c>
      <c r="O24" s="13">
        <f>IFERROR(INDEX($A$6:$A$37,MATCH("Green-"&amp;N24,$V$6:$V$37,0)),"")</f>
        <v/>
      </c>
      <c r="P24" s="14">
        <f>IFERROR(INDEX($B$6:$B$37,MATCH("Green-"&amp;N24,$V$6:$V$37,0)),"")</f>
        <v/>
      </c>
      <c r="R24" s="13" t="n">
        <v>10</v>
      </c>
      <c r="S24" s="13">
        <f>IFERROR(INDEX($A$6:$A$37,MATCH("Blue-"&amp;R24,$V$6:$V$37,0)),"")</f>
        <v/>
      </c>
      <c r="T24" s="14">
        <f>IFERROR(INDEX($B$6:$B$37,MATCH("Blue-"&amp;R24,$V$6:$V$37,0)),"")</f>
        <v/>
      </c>
      <c r="V24">
        <f>IF(OR($D24="",$E24=""),"",$D24&amp;"-"&amp;$E24)</f>
        <v/>
      </c>
    </row>
    <row r="25" ht="15" customHeight="1">
      <c r="A25" s="46" t="n">
        <v>20</v>
      </c>
      <c r="B25" s="14" t="n"/>
      <c r="C25" s="14" t="n"/>
      <c r="D25" s="13" t="n"/>
      <c r="E25" s="46" t="n"/>
      <c r="F25" s="13" t="n"/>
      <c r="G25" s="14" t="n"/>
      <c r="H25" s="15" t="n"/>
      <c r="J25" s="16" t="n">
        <v>11</v>
      </c>
      <c r="K25" s="16">
        <f>IFERROR(INDEX($A$6:$A$37,MATCH("Red-"&amp;J25,$V$6:$V$37,0)),"")</f>
        <v/>
      </c>
      <c r="L25" s="17">
        <f>IFERROR(INDEX($B$6:$B$37,MATCH("Red-"&amp;J25,$V$6:$V$37,0)),"")</f>
        <v/>
      </c>
      <c r="N25" s="16" t="n">
        <v>11</v>
      </c>
      <c r="O25" s="16">
        <f>IFERROR(INDEX($A$6:$A$37,MATCH("Green-"&amp;N25,$V$6:$V$37,0)),"")</f>
        <v/>
      </c>
      <c r="P25" s="17">
        <f>IFERROR(INDEX($B$6:$B$37,MATCH("Green-"&amp;N25,$V$6:$V$37,0)),"")</f>
        <v/>
      </c>
      <c r="R25" s="16" t="n">
        <v>11</v>
      </c>
      <c r="S25" s="16">
        <f>IFERROR(INDEX($A$6:$A$37,MATCH("Blue-"&amp;R25,$V$6:$V$37,0)),"")</f>
        <v/>
      </c>
      <c r="T25" s="17">
        <f>IFERROR(INDEX($B$6:$B$37,MATCH("Blue-"&amp;R25,$V$6:$V$37,0)),"")</f>
        <v/>
      </c>
      <c r="V25">
        <f>IF(OR($D25="",$E25=""),"",$D25&amp;"-"&amp;$E25)</f>
        <v/>
      </c>
    </row>
    <row r="26" ht="15" customHeight="1">
      <c r="A26" s="47" t="n">
        <v>21</v>
      </c>
      <c r="B26" s="17" t="n"/>
      <c r="C26" s="17" t="n"/>
      <c r="D26" s="16" t="n"/>
      <c r="E26" s="47" t="n"/>
      <c r="F26" s="16" t="n"/>
      <c r="G26" s="17" t="n"/>
      <c r="H26" s="18" t="n"/>
      <c r="J26" s="13" t="n">
        <v>12</v>
      </c>
      <c r="K26" s="13">
        <f>IFERROR(INDEX($A$6:$A$37,MATCH("Red-"&amp;J26,$V$6:$V$37,0)),"")</f>
        <v/>
      </c>
      <c r="L26" s="14">
        <f>IFERROR(INDEX($B$6:$B$37,MATCH("Red-"&amp;J26,$V$6:$V$37,0)),"")</f>
        <v/>
      </c>
      <c r="N26" s="13" t="n">
        <v>12</v>
      </c>
      <c r="O26" s="13">
        <f>IFERROR(INDEX($A$6:$A$37,MATCH("Green-"&amp;N26,$V$6:$V$37,0)),"")</f>
        <v/>
      </c>
      <c r="P26" s="14">
        <f>IFERROR(INDEX($B$6:$B$37,MATCH("Green-"&amp;N26,$V$6:$V$37,0)),"")</f>
        <v/>
      </c>
      <c r="R26" s="13" t="n">
        <v>12</v>
      </c>
      <c r="S26" s="13">
        <f>IFERROR(INDEX($A$6:$A$37,MATCH("Blue-"&amp;R26,$V$6:$V$37,0)),"")</f>
        <v/>
      </c>
      <c r="T26" s="14">
        <f>IFERROR(INDEX($B$6:$B$37,MATCH("Blue-"&amp;R26,$V$6:$V$37,0)),"")</f>
        <v/>
      </c>
      <c r="V26">
        <f>IF(OR($D26="",$E26=""),"",$D26&amp;"-"&amp;$E26)</f>
        <v/>
      </c>
    </row>
    <row r="27" ht="15" customHeight="1">
      <c r="A27" s="46" t="n">
        <v>22</v>
      </c>
      <c r="B27" s="14" t="n"/>
      <c r="C27" s="14" t="n"/>
      <c r="D27" s="13" t="n"/>
      <c r="E27" s="46" t="n"/>
      <c r="F27" s="13" t="n"/>
      <c r="G27" s="14" t="n"/>
      <c r="H27" s="15" t="n"/>
      <c r="J27" s="16" t="n">
        <v>13</v>
      </c>
      <c r="K27" s="16">
        <f>IFERROR(INDEX($A$6:$A$37,MATCH("Red-"&amp;J27,$V$6:$V$37,0)),"")</f>
        <v/>
      </c>
      <c r="L27" s="17">
        <f>IFERROR(INDEX($B$6:$B$37,MATCH("Red-"&amp;J27,$V$6:$V$37,0)),"")</f>
        <v/>
      </c>
      <c r="V27">
        <f>IF(OR($D27="",$E27=""),"",$D27&amp;"-"&amp;$E27)</f>
        <v/>
      </c>
    </row>
    <row r="28" ht="15" customHeight="1">
      <c r="A28" s="47" t="n">
        <v>23</v>
      </c>
      <c r="B28" s="17" t="n"/>
      <c r="C28" s="17" t="n"/>
      <c r="D28" s="16" t="n"/>
      <c r="E28" s="47" t="n"/>
      <c r="F28" s="16" t="n"/>
      <c r="G28" s="17" t="n"/>
      <c r="H28" s="18" t="n"/>
      <c r="J28" s="13" t="n">
        <v>14</v>
      </c>
      <c r="K28" s="13">
        <f>IFERROR(INDEX($A$6:$A$37,MATCH("Red-"&amp;J28,$V$6:$V$37,0)),"")</f>
        <v/>
      </c>
      <c r="L28" s="14">
        <f>IFERROR(INDEX($B$6:$B$37,MATCH("Red-"&amp;J28,$V$6:$V$37,0)),"")</f>
        <v/>
      </c>
      <c r="V28">
        <f>IF(OR($D28="",$E28=""),"",$D28&amp;"-"&amp;$E28)</f>
        <v/>
      </c>
    </row>
    <row r="29" ht="15" customHeight="1">
      <c r="A29" s="46" t="n">
        <v>24</v>
      </c>
      <c r="B29" s="14" t="n"/>
      <c r="C29" s="14" t="n"/>
      <c r="D29" s="13" t="n"/>
      <c r="E29" s="46" t="n"/>
      <c r="F29" s="13" t="n"/>
      <c r="G29" s="14" t="n"/>
      <c r="H29" s="15" t="n"/>
      <c r="J29" s="16" t="n">
        <v>15</v>
      </c>
      <c r="K29" s="16">
        <f>IFERROR(INDEX($A$6:$A$37,MATCH("Red-"&amp;J29,$V$6:$V$37,0)),"")</f>
        <v/>
      </c>
      <c r="L29" s="17">
        <f>IFERROR(INDEX($B$6:$B$37,MATCH("Red-"&amp;J29,$V$6:$V$37,0)),"")</f>
        <v/>
      </c>
      <c r="V29">
        <f>IF(OR($D29="",$E29=""),"",$D29&amp;"-"&amp;$E29)</f>
        <v/>
      </c>
    </row>
    <row r="30" ht="15" customHeight="1">
      <c r="A30" s="47" t="n">
        <v>25</v>
      </c>
      <c r="B30" s="17" t="n"/>
      <c r="C30" s="17" t="n"/>
      <c r="D30" s="16" t="n"/>
      <c r="E30" s="47" t="n"/>
      <c r="F30" s="16" t="n"/>
      <c r="G30" s="17" t="n"/>
      <c r="H30" s="18" t="n"/>
      <c r="J30" s="13" t="n">
        <v>16</v>
      </c>
      <c r="K30" s="13">
        <f>IFERROR(INDEX($A$6:$A$37,MATCH("Red-"&amp;J30,$V$6:$V$37,0)),"")</f>
        <v/>
      </c>
      <c r="L30" s="14">
        <f>IFERROR(INDEX($B$6:$B$37,MATCH("Red-"&amp;J30,$V$6:$V$37,0)),"")</f>
        <v/>
      </c>
      <c r="V30">
        <f>IF(OR($D30="",$E30=""),"",$D30&amp;"-"&amp;$E30)</f>
        <v/>
      </c>
    </row>
    <row r="31" ht="15" customHeight="1">
      <c r="A31" s="46" t="n">
        <v>26</v>
      </c>
      <c r="B31" s="14" t="n"/>
      <c r="C31" s="14" t="n"/>
      <c r="D31" s="13" t="n"/>
      <c r="E31" s="46" t="n"/>
      <c r="F31" s="13" t="n"/>
      <c r="G31" s="14" t="n"/>
      <c r="H31" s="15" t="n"/>
      <c r="V31">
        <f>IF(OR($D31="",$E31=""),"",$D31&amp;"-"&amp;$E31)</f>
        <v/>
      </c>
    </row>
    <row r="32" ht="15" customHeight="1">
      <c r="A32" s="47" t="n">
        <v>27</v>
      </c>
      <c r="B32" s="17" t="n"/>
      <c r="C32" s="17" t="n"/>
      <c r="D32" s="16" t="n"/>
      <c r="E32" s="47" t="n"/>
      <c r="F32" s="16" t="n"/>
      <c r="G32" s="17" t="n"/>
      <c r="H32" s="18" t="n"/>
      <c r="J32" s="22" t="inlineStr">
        <is>
          <t>Live: fill Zone + Patch # on the channel grid at left and the matching location here fills in automatically. Blank = not patched yet.</t>
        </is>
      </c>
      <c r="V32">
        <f>IF(OR($D32="",$E32=""),"",$D32&amp;"-"&amp;$E32)</f>
        <v/>
      </c>
    </row>
    <row r="33" ht="15" customHeight="1">
      <c r="A33" s="46" t="n">
        <v>28</v>
      </c>
      <c r="B33" s="14" t="n"/>
      <c r="C33" s="14" t="n"/>
      <c r="D33" s="13" t="n"/>
      <c r="E33" s="46" t="n"/>
      <c r="F33" s="13" t="n"/>
      <c r="G33" s="14" t="n"/>
      <c r="H33" s="15" t="n"/>
      <c r="V33">
        <f>IF(OR($D33="",$E33=""),"",$D33&amp;"-"&amp;$E33)</f>
        <v/>
      </c>
    </row>
    <row r="34" ht="15" customHeight="1">
      <c r="A34" s="47" t="n">
        <v>29</v>
      </c>
      <c r="B34" s="17" t="n"/>
      <c r="C34" s="17" t="n"/>
      <c r="D34" s="16" t="n"/>
      <c r="E34" s="47" t="n"/>
      <c r="F34" s="16" t="n"/>
      <c r="G34" s="17" t="n"/>
      <c r="H34" s="18" t="n"/>
      <c r="V34">
        <f>IF(OR($D34="",$E34=""),"",$D34&amp;"-"&amp;$E34)</f>
        <v/>
      </c>
    </row>
    <row r="35" ht="15" customHeight="1">
      <c r="A35" s="46" t="n">
        <v>30</v>
      </c>
      <c r="B35" s="14" t="n"/>
      <c r="C35" s="14" t="n"/>
      <c r="D35" s="13" t="n"/>
      <c r="E35" s="46" t="n"/>
      <c r="F35" s="13" t="n"/>
      <c r="G35" s="14" t="n"/>
      <c r="H35" s="15" t="n"/>
      <c r="V35">
        <f>IF(OR($D35="",$E35=""),"",$D35&amp;"-"&amp;$E35)</f>
        <v/>
      </c>
    </row>
    <row r="36" ht="15" customHeight="1">
      <c r="A36" s="47" t="n">
        <v>31</v>
      </c>
      <c r="B36" s="17" t="n"/>
      <c r="C36" s="17" t="n"/>
      <c r="D36" s="16" t="n"/>
      <c r="E36" s="47" t="n"/>
      <c r="F36" s="16" t="n"/>
      <c r="G36" s="17" t="n"/>
      <c r="H36" s="18" t="n"/>
      <c r="V36">
        <f>IF(OR($D36="",$E36=""),"",$D36&amp;"-"&amp;$E36)</f>
        <v/>
      </c>
    </row>
    <row r="37" ht="15" customHeight="1">
      <c r="A37" s="46" t="n">
        <v>32</v>
      </c>
      <c r="B37" s="14" t="n"/>
      <c r="C37" s="14" t="n"/>
      <c r="D37" s="13" t="n"/>
      <c r="E37" s="46" t="n"/>
      <c r="F37" s="13" t="n"/>
      <c r="G37" s="14" t="n"/>
      <c r="H37" s="15" t="n"/>
      <c r="V37">
        <f>IF(OR($D37="",$E37=""),"",$D37&amp;"-"&amp;$E37)</f>
        <v/>
      </c>
    </row>
  </sheetData>
  <mergeCells count="5">
    <mergeCell ref="A3:K3"/>
    <mergeCell ref="J5:K5"/>
    <mergeCell ref="J32:T33"/>
    <mergeCell ref="A1:K1"/>
    <mergeCell ref="J13:T13"/>
  </mergeCells>
  <conditionalFormatting sqref="D6:D37">
    <cfRule type="expression" priority="1" dxfId="0">
      <formula>$D6="Red"</formula>
    </cfRule>
    <cfRule type="expression" priority="2" dxfId="1">
      <formula>$D6="Green"</formula>
    </cfRule>
    <cfRule type="expression" priority="3" dxfId="2">
      <formula>$D6="Blue"</formula>
    </cfRule>
  </conditionalFormatting>
  <conditionalFormatting sqref="E6:E37">
    <cfRule type="expression" priority="4" dxfId="0">
      <formula>$D6="Red"</formula>
    </cfRule>
    <cfRule type="expression" priority="5" dxfId="1">
      <formula>$D6="Green"</formula>
    </cfRule>
    <cfRule type="expression" priority="6" dxfId="2">
      <formula>$D6="Blue"</formula>
    </cfRule>
  </conditionalFormatting>
  <dataValidations count="3">
    <dataValidation sqref="D6:D37" showDropDown="0" showInputMessage="0" showErrorMessage="0" allowBlank="1" errorTitle="Invalid zone" error="Choose Red, Green, or Blue" type="list">
      <formula1>"Red,Green,Blue"</formula1>
    </dataValidation>
    <dataValidation sqref="G6:G37" showDropDown="0" showInputMessage="0" showErrorMessage="0" allowBlank="1" type="list">
      <formula1>"Short,Tall,Boom,Bar,Clip,DI,—"</formula1>
    </dataValidation>
    <dataValidation sqref="F6:F37" showDropDown="0" showInputMessage="0" showErrorMessage="0" allowBlank="1" type="list">
      <formula1>"✓"</formula1>
    </dataValidation>
  </dataValidations>
  <pageMargins left="0.4" right="0.4" top="0.5" bottom="0.5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13" customWidth="1" min="3" max="3"/>
    <col width="2.6" customWidth="1" min="4" max="4"/>
    <col width="10" customWidth="1" min="5" max="5"/>
    <col width="6" customWidth="1" min="6" max="6"/>
    <col width="9" customWidth="1" min="7" max="7"/>
    <col width="22" customWidth="1" min="8" max="8"/>
    <col width="2.2" customWidth="1" min="9" max="9"/>
    <col width="5" customWidth="1" min="10" max="10"/>
    <col width="19" customWidth="1" min="11" max="11"/>
    <col width="13" customWidth="1" min="12" max="12"/>
    <col width="2.6" customWidth="1" min="13" max="13"/>
    <col width="10" customWidth="1" min="14" max="14"/>
    <col width="6" customWidth="1" min="15" max="15"/>
    <col width="9" customWidth="1" min="16" max="16"/>
    <col width="22" customWidth="1" min="17" max="17"/>
    <col hidden="1" width="1" customWidth="1" min="18" max="18"/>
    <col hidden="1" width="1" customWidth="1" min="19" max="19"/>
    <col width="5" customWidth="1" min="20" max="20"/>
    <col width="19" customWidth="1" min="21" max="21"/>
    <col width="13" customWidth="1" min="22" max="22"/>
  </cols>
  <sheetData>
    <row r="1" ht="30" customHeight="1">
      <c r="A1" s="81" t="inlineStr">
        <is>
          <t>INPUT LIST — MASTER TEMPLATE (Two-Up)</t>
        </is>
      </c>
    </row>
    <row r="2" ht="20" customHeight="1">
      <c r="A2" s="82" t="inlineStr">
        <is>
          <t>Show:</t>
        </is>
      </c>
      <c r="B2" s="3" t="n"/>
      <c r="C2" s="82" t="inlineStr">
        <is>
          <t>Venue:</t>
        </is>
      </c>
      <c r="D2" s="3" t="n"/>
      <c r="E2" s="3" t="n"/>
      <c r="F2" s="82" t="inlineStr">
        <is>
          <t>Date:</t>
        </is>
      </c>
      <c r="G2" s="3" t="n"/>
      <c r="H2" s="3" t="n"/>
      <c r="I2" s="3" t="n"/>
      <c r="J2" s="82" t="inlineStr">
        <is>
          <t>FOH:</t>
        </is>
      </c>
      <c r="K2" s="3" t="n"/>
      <c r="L2" s="3" t="n"/>
      <c r="M2" s="3" t="n"/>
      <c r="N2" s="82" t="inlineStr">
        <is>
          <t>MON:</t>
        </is>
      </c>
      <c r="O2" s="3" t="n"/>
      <c r="P2" s="3" t="n"/>
      <c r="Q2" s="3" t="n"/>
    </row>
    <row r="3" ht="30" customHeight="1">
      <c r="A3" s="83" t="inlineStr">
        <is>
          <t>Split Patch: pick the zone color in the small swatch, then type the location number (RED 1–16, GREEN 1–12, BLUE 1–12) — or type WIRELESS for wireless channels (leave the swatch blank). The cell colors itself to match. Ch 1 (left) and Ch 17 (right) are worked examples — clear before a show.</t>
        </is>
      </c>
    </row>
    <row r="4" ht="22" customHeight="1">
      <c r="A4" s="26" t="inlineStr">
        <is>
          <t>Ch</t>
        </is>
      </c>
      <c r="B4" s="26" t="inlineStr">
        <is>
          <t>Instrument</t>
        </is>
      </c>
      <c r="C4" s="26" t="inlineStr">
        <is>
          <t>Mic/DI</t>
        </is>
      </c>
      <c r="D4" s="26" t="inlineStr">
        <is>
          <t>Split Patch</t>
        </is>
      </c>
      <c r="E4" s="7" t="n"/>
      <c r="F4" s="26" t="inlineStr">
        <is>
          <t>48V</t>
        </is>
      </c>
      <c r="G4" s="26" t="inlineStr">
        <is>
          <t>Stand</t>
        </is>
      </c>
      <c r="H4" s="26" t="inlineStr">
        <is>
          <t>Notes</t>
        </is>
      </c>
      <c r="J4" s="26" t="inlineStr">
        <is>
          <t>Ch</t>
        </is>
      </c>
      <c r="K4" s="26" t="inlineStr">
        <is>
          <t>Instrument</t>
        </is>
      </c>
      <c r="L4" s="26" t="inlineStr">
        <is>
          <t>Mic/DI</t>
        </is>
      </c>
      <c r="M4" s="26" t="inlineStr">
        <is>
          <t>Split Patch</t>
        </is>
      </c>
      <c r="N4" s="7" t="n"/>
      <c r="O4" s="26" t="inlineStr">
        <is>
          <t>48V</t>
        </is>
      </c>
      <c r="P4" s="26" t="inlineStr">
        <is>
          <t>Stand</t>
        </is>
      </c>
      <c r="Q4" s="26" t="inlineStr">
        <is>
          <t>Notes</t>
        </is>
      </c>
    </row>
    <row r="5" ht="20" customHeight="1">
      <c r="A5" s="48" t="inlineStr">
        <is>
          <t>1</t>
        </is>
      </c>
      <c r="B5" s="64" t="inlineStr">
        <is>
          <t>Kick In</t>
        </is>
      </c>
      <c r="C5" s="64" t="inlineStr">
        <is>
          <t>DM6</t>
        </is>
      </c>
      <c r="D5" s="62" t="inlineStr">
        <is>
          <t>Red</t>
        </is>
      </c>
      <c r="E5" s="63" t="inlineStr">
        <is>
          <t>3</t>
        </is>
      </c>
      <c r="F5" s="64" t="inlineStr">
        <is>
          <t>✓</t>
        </is>
      </c>
      <c r="G5" s="64" t="inlineStr">
        <is>
          <t>Short</t>
        </is>
      </c>
      <c r="H5" s="84" t="inlineStr">
        <is>
          <t>EXAMPLE</t>
        </is>
      </c>
      <c r="J5" s="48" t="inlineStr">
        <is>
          <t>17</t>
        </is>
      </c>
      <c r="K5" s="64" t="inlineStr">
        <is>
          <t>Ovhd L</t>
        </is>
      </c>
      <c r="L5" s="64" t="inlineStr">
        <is>
          <t>SR20</t>
        </is>
      </c>
      <c r="M5" s="62" t="inlineStr">
        <is>
          <t>Blue</t>
        </is>
      </c>
      <c r="N5" s="63" t="inlineStr">
        <is>
          <t>2</t>
        </is>
      </c>
      <c r="O5" s="64" t="inlineStr">
        <is>
          <t>✓</t>
        </is>
      </c>
      <c r="P5" s="64" t="inlineStr">
        <is>
          <t>Boom</t>
        </is>
      </c>
      <c r="Q5" s="84" t="inlineStr">
        <is>
          <t>EXAMPLE</t>
        </is>
      </c>
      <c r="R5">
        <f>IF(OR($D5="",$E5="",$E5="WIRELESS"),"",$D5&amp;"-"&amp;$E5)</f>
        <v/>
      </c>
      <c r="S5">
        <f>IF(OR($M5="",$N5="",$N5="WIRELESS"),"",$M5&amp;"-"&amp;$N5)</f>
        <v/>
      </c>
    </row>
    <row r="6" ht="20" customHeight="1">
      <c r="A6" s="49" t="n">
        <v>2</v>
      </c>
      <c r="B6" s="30" t="n"/>
      <c r="C6" s="30" t="n"/>
      <c r="D6" s="66" t="n"/>
      <c r="E6" s="67" t="n"/>
      <c r="F6" s="30" t="n"/>
      <c r="G6" s="30" t="n"/>
      <c r="H6" s="85" t="n"/>
      <c r="J6" s="49" t="n">
        <v>18</v>
      </c>
      <c r="K6" s="30" t="n"/>
      <c r="L6" s="30" t="n"/>
      <c r="M6" s="66" t="n"/>
      <c r="N6" s="67" t="n"/>
      <c r="O6" s="30" t="n"/>
      <c r="P6" s="30" t="n"/>
      <c r="Q6" s="85" t="n"/>
      <c r="R6">
        <f>IF(OR($D6="",$E6="",$E6="WIRELESS"),"",$D6&amp;"-"&amp;$E6)</f>
        <v/>
      </c>
      <c r="S6">
        <f>IF(OR($M6="",$N6="",$N6="WIRELESS"),"",$M6&amp;"-"&amp;$N6)</f>
        <v/>
      </c>
    </row>
    <row r="7" ht="20" customHeight="1">
      <c r="A7" s="50" t="n">
        <v>3</v>
      </c>
      <c r="B7" s="33" t="n"/>
      <c r="C7" s="33" t="n"/>
      <c r="D7" s="68" t="n"/>
      <c r="E7" s="69" t="n"/>
      <c r="F7" s="33" t="n"/>
      <c r="G7" s="33" t="n"/>
      <c r="H7" s="86" t="n"/>
      <c r="J7" s="50" t="n">
        <v>19</v>
      </c>
      <c r="K7" s="33" t="n"/>
      <c r="L7" s="33" t="n"/>
      <c r="M7" s="68" t="n"/>
      <c r="N7" s="69" t="n"/>
      <c r="O7" s="33" t="n"/>
      <c r="P7" s="33" t="n"/>
      <c r="Q7" s="86" t="n"/>
      <c r="R7">
        <f>IF(OR($D7="",$E7="",$E7="WIRELESS"),"",$D7&amp;"-"&amp;$E7)</f>
        <v/>
      </c>
      <c r="S7">
        <f>IF(OR($M7="",$N7="",$N7="WIRELESS"),"",$M7&amp;"-"&amp;$N7)</f>
        <v/>
      </c>
    </row>
    <row r="8" ht="20" customHeight="1">
      <c r="A8" s="49" t="n">
        <v>4</v>
      </c>
      <c r="B8" s="30" t="n"/>
      <c r="C8" s="30" t="n"/>
      <c r="D8" s="66" t="n"/>
      <c r="E8" s="67" t="n"/>
      <c r="F8" s="30" t="n"/>
      <c r="G8" s="30" t="n"/>
      <c r="H8" s="85" t="n"/>
      <c r="J8" s="49" t="n">
        <v>20</v>
      </c>
      <c r="K8" s="30" t="n"/>
      <c r="L8" s="30" t="n"/>
      <c r="M8" s="66" t="n"/>
      <c r="N8" s="67" t="n"/>
      <c r="O8" s="30" t="n"/>
      <c r="P8" s="30" t="n"/>
      <c r="Q8" s="85" t="n"/>
      <c r="R8">
        <f>IF(OR($D8="",$E8="",$E8="WIRELESS"),"",$D8&amp;"-"&amp;$E8)</f>
        <v/>
      </c>
      <c r="S8">
        <f>IF(OR($M8="",$N8="",$N8="WIRELESS"),"",$M8&amp;"-"&amp;$N8)</f>
        <v/>
      </c>
    </row>
    <row r="9" ht="20" customHeight="1">
      <c r="A9" s="50" t="n">
        <v>5</v>
      </c>
      <c r="B9" s="33" t="n"/>
      <c r="C9" s="33" t="n"/>
      <c r="D9" s="68" t="n"/>
      <c r="E9" s="69" t="n"/>
      <c r="F9" s="33" t="n"/>
      <c r="G9" s="33" t="n"/>
      <c r="H9" s="86" t="n"/>
      <c r="J9" s="50" t="n">
        <v>21</v>
      </c>
      <c r="K9" s="33" t="n"/>
      <c r="L9" s="33" t="n"/>
      <c r="M9" s="68" t="n"/>
      <c r="N9" s="69" t="n"/>
      <c r="O9" s="33" t="n"/>
      <c r="P9" s="33" t="n"/>
      <c r="Q9" s="86" t="n"/>
      <c r="R9">
        <f>IF(OR($D9="",$E9="",$E9="WIRELESS"),"",$D9&amp;"-"&amp;$E9)</f>
        <v/>
      </c>
      <c r="S9">
        <f>IF(OR($M9="",$N9="",$N9="WIRELESS"),"",$M9&amp;"-"&amp;$N9)</f>
        <v/>
      </c>
    </row>
    <row r="10" ht="20" customHeight="1">
      <c r="A10" s="49" t="n">
        <v>6</v>
      </c>
      <c r="B10" s="30" t="n"/>
      <c r="C10" s="30" t="n"/>
      <c r="D10" s="66" t="n"/>
      <c r="E10" s="67" t="n"/>
      <c r="F10" s="30" t="n"/>
      <c r="G10" s="30" t="n"/>
      <c r="H10" s="85" t="n"/>
      <c r="J10" s="49" t="n">
        <v>22</v>
      </c>
      <c r="K10" s="30" t="n"/>
      <c r="L10" s="30" t="n"/>
      <c r="M10" s="66" t="n"/>
      <c r="N10" s="67" t="n"/>
      <c r="O10" s="30" t="n"/>
      <c r="P10" s="30" t="n"/>
      <c r="Q10" s="85" t="n"/>
      <c r="R10">
        <f>IF(OR($D10="",$E10="",$E10="WIRELESS"),"",$D10&amp;"-"&amp;$E10)</f>
        <v/>
      </c>
      <c r="S10">
        <f>IF(OR($M10="",$N10="",$N10="WIRELESS"),"",$M10&amp;"-"&amp;$N10)</f>
        <v/>
      </c>
    </row>
    <row r="11" ht="20" customHeight="1">
      <c r="A11" s="50" t="n">
        <v>7</v>
      </c>
      <c r="B11" s="33" t="n"/>
      <c r="C11" s="33" t="n"/>
      <c r="D11" s="68" t="n"/>
      <c r="E11" s="69" t="n"/>
      <c r="F11" s="33" t="n"/>
      <c r="G11" s="33" t="n"/>
      <c r="H11" s="86" t="n"/>
      <c r="J11" s="50" t="n">
        <v>23</v>
      </c>
      <c r="K11" s="33" t="n"/>
      <c r="L11" s="33" t="n"/>
      <c r="M11" s="68" t="n"/>
      <c r="N11" s="69" t="n"/>
      <c r="O11" s="33" t="n"/>
      <c r="P11" s="33" t="n"/>
      <c r="Q11" s="86" t="n"/>
      <c r="R11">
        <f>IF(OR($D11="",$E11="",$E11="WIRELESS"),"",$D11&amp;"-"&amp;$E11)</f>
        <v/>
      </c>
      <c r="S11">
        <f>IF(OR($M11="",$N11="",$N11="WIRELESS"),"",$M11&amp;"-"&amp;$N11)</f>
        <v/>
      </c>
    </row>
    <row r="12" ht="20" customHeight="1">
      <c r="A12" s="49" t="n">
        <v>8</v>
      </c>
      <c r="B12" s="30" t="n"/>
      <c r="C12" s="30" t="n"/>
      <c r="D12" s="66" t="n"/>
      <c r="E12" s="67" t="n"/>
      <c r="F12" s="30" t="n"/>
      <c r="G12" s="30" t="n"/>
      <c r="H12" s="85" t="n"/>
      <c r="J12" s="49" t="n">
        <v>24</v>
      </c>
      <c r="K12" s="30" t="n"/>
      <c r="L12" s="30" t="n"/>
      <c r="M12" s="66" t="n"/>
      <c r="N12" s="67" t="n"/>
      <c r="O12" s="30" t="n"/>
      <c r="P12" s="30" t="n"/>
      <c r="Q12" s="85" t="n"/>
      <c r="R12">
        <f>IF(OR($D12="",$E12="",$E12="WIRELESS"),"",$D12&amp;"-"&amp;$E12)</f>
        <v/>
      </c>
      <c r="S12">
        <f>IF(OR($M12="",$N12="",$N12="WIRELESS"),"",$M12&amp;"-"&amp;$N12)</f>
        <v/>
      </c>
    </row>
    <row r="13" ht="20" customHeight="1">
      <c r="A13" s="50" t="n">
        <v>9</v>
      </c>
      <c r="B13" s="33" t="n"/>
      <c r="C13" s="33" t="n"/>
      <c r="D13" s="68" t="n"/>
      <c r="E13" s="69" t="n"/>
      <c r="F13" s="33" t="n"/>
      <c r="G13" s="33" t="n"/>
      <c r="H13" s="86" t="n"/>
      <c r="J13" s="50" t="n">
        <v>25</v>
      </c>
      <c r="K13" s="33" t="n"/>
      <c r="L13" s="33" t="n"/>
      <c r="M13" s="68" t="n"/>
      <c r="N13" s="69" t="n"/>
      <c r="O13" s="33" t="n"/>
      <c r="P13" s="33" t="n"/>
      <c r="Q13" s="86" t="n"/>
      <c r="R13">
        <f>IF(OR($D13="",$E13="",$E13="WIRELESS"),"",$D13&amp;"-"&amp;$E13)</f>
        <v/>
      </c>
      <c r="S13">
        <f>IF(OR($M13="",$N13="",$N13="WIRELESS"),"",$M13&amp;"-"&amp;$N13)</f>
        <v/>
      </c>
    </row>
    <row r="14" ht="20" customHeight="1">
      <c r="A14" s="49" t="n">
        <v>10</v>
      </c>
      <c r="B14" s="30" t="n"/>
      <c r="C14" s="30" t="n"/>
      <c r="D14" s="66" t="n"/>
      <c r="E14" s="67" t="n"/>
      <c r="F14" s="30" t="n"/>
      <c r="G14" s="30" t="n"/>
      <c r="H14" s="85" t="n"/>
      <c r="J14" s="49" t="n">
        <v>26</v>
      </c>
      <c r="K14" s="30" t="n"/>
      <c r="L14" s="30" t="n"/>
      <c r="M14" s="66" t="n"/>
      <c r="N14" s="67" t="n"/>
      <c r="O14" s="30" t="n"/>
      <c r="P14" s="30" t="n"/>
      <c r="Q14" s="85" t="n"/>
      <c r="R14">
        <f>IF(OR($D14="",$E14="",$E14="WIRELESS"),"",$D14&amp;"-"&amp;$E14)</f>
        <v/>
      </c>
      <c r="S14">
        <f>IF(OR($M14="",$N14="",$N14="WIRELESS"),"",$M14&amp;"-"&amp;$N14)</f>
        <v/>
      </c>
    </row>
    <row r="15" ht="20" customHeight="1">
      <c r="A15" s="50" t="n">
        <v>11</v>
      </c>
      <c r="B15" s="33" t="n"/>
      <c r="C15" s="33" t="n"/>
      <c r="D15" s="68" t="n"/>
      <c r="E15" s="69" t="n"/>
      <c r="F15" s="33" t="n"/>
      <c r="G15" s="33" t="n"/>
      <c r="H15" s="86" t="n"/>
      <c r="J15" s="50" t="n">
        <v>27</v>
      </c>
      <c r="K15" s="33" t="n"/>
      <c r="L15" s="33" t="n"/>
      <c r="M15" s="68" t="n"/>
      <c r="N15" s="69" t="n"/>
      <c r="O15" s="33" t="n"/>
      <c r="P15" s="33" t="n"/>
      <c r="Q15" s="86" t="n"/>
      <c r="R15">
        <f>IF(OR($D15="",$E15="",$E15="WIRELESS"),"",$D15&amp;"-"&amp;$E15)</f>
        <v/>
      </c>
      <c r="S15">
        <f>IF(OR($M15="",$N15="",$N15="WIRELESS"),"",$M15&amp;"-"&amp;$N15)</f>
        <v/>
      </c>
    </row>
    <row r="16" ht="20" customHeight="1">
      <c r="A16" s="49" t="n">
        <v>12</v>
      </c>
      <c r="B16" s="30" t="n"/>
      <c r="C16" s="30" t="n"/>
      <c r="D16" s="66" t="n"/>
      <c r="E16" s="67" t="n"/>
      <c r="F16" s="30" t="n"/>
      <c r="G16" s="30" t="n"/>
      <c r="H16" s="85" t="n"/>
      <c r="J16" s="49" t="n">
        <v>28</v>
      </c>
      <c r="K16" s="30" t="n"/>
      <c r="L16" s="30" t="n"/>
      <c r="M16" s="66" t="n"/>
      <c r="N16" s="67" t="n"/>
      <c r="O16" s="30" t="n"/>
      <c r="P16" s="30" t="n"/>
      <c r="Q16" s="85" t="n"/>
      <c r="R16">
        <f>IF(OR($D16="",$E16="",$E16="WIRELESS"),"",$D16&amp;"-"&amp;$E16)</f>
        <v/>
      </c>
      <c r="S16">
        <f>IF(OR($M16="",$N16="",$N16="WIRELESS"),"",$M16&amp;"-"&amp;$N16)</f>
        <v/>
      </c>
    </row>
    <row r="17" ht="20" customHeight="1">
      <c r="A17" s="50" t="n">
        <v>13</v>
      </c>
      <c r="B17" s="33" t="n"/>
      <c r="C17" s="33" t="n"/>
      <c r="D17" s="68" t="n"/>
      <c r="E17" s="69" t="n"/>
      <c r="F17" s="33" t="n"/>
      <c r="G17" s="33" t="n"/>
      <c r="H17" s="86" t="n"/>
      <c r="J17" s="50" t="n">
        <v>29</v>
      </c>
      <c r="K17" s="33" t="n"/>
      <c r="L17" s="33" t="n"/>
      <c r="M17" s="68" t="n"/>
      <c r="N17" s="69" t="n"/>
      <c r="O17" s="33" t="n"/>
      <c r="P17" s="33" t="n"/>
      <c r="Q17" s="86" t="n"/>
      <c r="R17">
        <f>IF(OR($D17="",$E17="",$E17="WIRELESS"),"",$D17&amp;"-"&amp;$E17)</f>
        <v/>
      </c>
      <c r="S17">
        <f>IF(OR($M17="",$N17="",$N17="WIRELESS"),"",$M17&amp;"-"&amp;$N17)</f>
        <v/>
      </c>
    </row>
    <row r="18" ht="20" customHeight="1">
      <c r="A18" s="49" t="n">
        <v>14</v>
      </c>
      <c r="B18" s="30" t="n"/>
      <c r="C18" s="30" t="n"/>
      <c r="D18" s="66" t="n"/>
      <c r="E18" s="67" t="n"/>
      <c r="F18" s="30" t="n"/>
      <c r="G18" s="30" t="n"/>
      <c r="H18" s="85" t="n"/>
      <c r="J18" s="49" t="n">
        <v>30</v>
      </c>
      <c r="K18" s="30" t="n"/>
      <c r="L18" s="30" t="n"/>
      <c r="M18" s="66" t="n"/>
      <c r="N18" s="67" t="n"/>
      <c r="O18" s="30" t="n"/>
      <c r="P18" s="30" t="n"/>
      <c r="Q18" s="85" t="n"/>
      <c r="R18">
        <f>IF(OR($D18="",$E18="",$E18="WIRELESS"),"",$D18&amp;"-"&amp;$E18)</f>
        <v/>
      </c>
      <c r="S18">
        <f>IF(OR($M18="",$N18="",$N18="WIRELESS"),"",$M18&amp;"-"&amp;$N18)</f>
        <v/>
      </c>
    </row>
    <row r="19" ht="20" customHeight="1">
      <c r="A19" s="50" t="n">
        <v>15</v>
      </c>
      <c r="B19" s="33" t="n"/>
      <c r="C19" s="33" t="n"/>
      <c r="D19" s="68" t="n"/>
      <c r="E19" s="69" t="n"/>
      <c r="F19" s="33" t="n"/>
      <c r="G19" s="33" t="n"/>
      <c r="H19" s="86" t="n"/>
      <c r="J19" s="50" t="n">
        <v>31</v>
      </c>
      <c r="K19" s="33" t="n"/>
      <c r="L19" s="33" t="n"/>
      <c r="M19" s="68" t="n"/>
      <c r="N19" s="69" t="n"/>
      <c r="O19" s="33" t="n"/>
      <c r="P19" s="33" t="n"/>
      <c r="Q19" s="86" t="n"/>
      <c r="R19">
        <f>IF(OR($D19="",$E19="",$E19="WIRELESS"),"",$D19&amp;"-"&amp;$E19)</f>
        <v/>
      </c>
      <c r="S19">
        <f>IF(OR($M19="",$N19="",$N19="WIRELESS"),"",$M19&amp;"-"&amp;$N19)</f>
        <v/>
      </c>
    </row>
    <row r="20" ht="20" customHeight="1">
      <c r="A20" s="49" t="n">
        <v>16</v>
      </c>
      <c r="B20" s="30" t="n"/>
      <c r="C20" s="30" t="n"/>
      <c r="D20" s="66" t="n"/>
      <c r="E20" s="67" t="n"/>
      <c r="F20" s="30" t="n"/>
      <c r="G20" s="30" t="n"/>
      <c r="H20" s="85" t="n"/>
      <c r="J20" s="49" t="n">
        <v>32</v>
      </c>
      <c r="K20" s="30" t="n"/>
      <c r="L20" s="30" t="n"/>
      <c r="M20" s="66" t="n"/>
      <c r="N20" s="67" t="n"/>
      <c r="O20" s="30" t="n"/>
      <c r="P20" s="30" t="n"/>
      <c r="Q20" s="85" t="n"/>
      <c r="R20">
        <f>IF(OR($D20="",$E20="",$E20="WIRELESS"),"",$D20&amp;"-"&amp;$E20)</f>
        <v/>
      </c>
      <c r="S20">
        <f>IF(OR($M20="",$N20="",$N20="WIRELESS"),"",$M20&amp;"-"&amp;$N20)</f>
        <v/>
      </c>
    </row>
    <row r="22" ht="22" customHeight="1">
      <c r="A22" s="87" t="inlineStr">
        <is>
          <t>MIXES / AUX SENDS</t>
        </is>
      </c>
    </row>
    <row r="23" ht="26" customHeight="1">
      <c r="A23" s="88" t="inlineStr">
        <is>
          <t>Mix 1</t>
        </is>
      </c>
      <c r="B23" s="89" t="inlineStr"/>
      <c r="G23" s="88" t="inlineStr">
        <is>
          <t>Mix 2</t>
        </is>
      </c>
      <c r="H23" s="89" t="inlineStr"/>
      <c r="N23" s="88" t="inlineStr">
        <is>
          <t>Mix 3</t>
        </is>
      </c>
      <c r="O23" s="89" t="inlineStr"/>
    </row>
    <row r="24" ht="26" customHeight="1">
      <c r="A24" s="88" t="inlineStr">
        <is>
          <t>Mix 4</t>
        </is>
      </c>
      <c r="B24" s="89" t="inlineStr"/>
      <c r="G24" s="88" t="inlineStr">
        <is>
          <t>Mix 5</t>
        </is>
      </c>
      <c r="H24" s="89" t="inlineStr"/>
      <c r="N24" s="88" t="inlineStr">
        <is>
          <t>Mix 6</t>
        </is>
      </c>
      <c r="O24" s="89" t="inlineStr"/>
    </row>
    <row r="26" ht="18" customHeight="1">
      <c r="A26" s="5" t="inlineStr">
        <is>
          <t>SNAKE PATCH SHEETS — auto-fills from the channel grid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7" t="n"/>
    </row>
    <row r="27">
      <c r="A27" s="70" t="inlineStr">
        <is>
          <t>Loc</t>
        </is>
      </c>
      <c r="B27" s="70" t="inlineStr">
        <is>
          <t>Instrument</t>
        </is>
      </c>
      <c r="C27" s="70" t="inlineStr">
        <is>
          <t>Mic/DI</t>
        </is>
      </c>
      <c r="J27" s="74" t="inlineStr">
        <is>
          <t>Loc</t>
        </is>
      </c>
      <c r="K27" s="74" t="inlineStr">
        <is>
          <t>Instrument</t>
        </is>
      </c>
      <c r="L27" s="74" t="inlineStr">
        <is>
          <t>Mic/DI</t>
        </is>
      </c>
      <c r="T27" s="72" t="inlineStr">
        <is>
          <t>Loc</t>
        </is>
      </c>
      <c r="U27" s="72" t="inlineStr">
        <is>
          <t>Instrument</t>
        </is>
      </c>
      <c r="V27" s="72" t="inlineStr">
        <is>
          <t>Mic/DI</t>
        </is>
      </c>
    </row>
    <row r="28">
      <c r="A28" s="77" t="n">
        <v>1</v>
      </c>
      <c r="B28" s="16">
        <f>IFERROR(INDEX($B$5:$B$20,MATCH("Red-"&amp;A28,$R$5:$R$20,0)),IFERROR(INDEX($K$5:$K$20,MATCH("Red-"&amp;A28,$S$5:$S$20,0)),""))</f>
        <v/>
      </c>
      <c r="C28" s="16">
        <f>IFERROR(INDEX($C$5:$C$20,MATCH("Red-"&amp;A28,$R$5:$R$20,0)),IFERROR(INDEX($L$5:$L$20,MATCH("Red-"&amp;A28,$S$5:$S$20,0)),""))</f>
        <v/>
      </c>
      <c r="J28" s="80" t="n">
        <v>1</v>
      </c>
      <c r="K28" s="16">
        <f>IFERROR(INDEX($B$5:$B$20,MATCH("Blue-"&amp;J28,$R$5:$R$20,0)),IFERROR(INDEX($K$5:$K$20,MATCH("Blue-"&amp;J28,$S$5:$S$20,0)),""))</f>
        <v/>
      </c>
      <c r="L28" s="16">
        <f>IFERROR(INDEX($C$5:$C$20,MATCH("Blue-"&amp;J28,$R$5:$R$20,0)),IFERROR(INDEX($L$5:$L$20,MATCH("Blue-"&amp;J28,$S$5:$S$20,0)),""))</f>
        <v/>
      </c>
      <c r="T28" s="79" t="n">
        <v>1</v>
      </c>
      <c r="U28" s="16">
        <f>IFERROR(INDEX($B$5:$B$20,MATCH("Green-"&amp;T28,$R$5:$R$20,0)),IFERROR(INDEX($K$5:$K$20,MATCH("Green-"&amp;T28,$S$5:$S$20,0)),""))</f>
        <v/>
      </c>
      <c r="V28" s="16">
        <f>IFERROR(INDEX($C$5:$C$20,MATCH("Green-"&amp;T28,$R$5:$R$20,0)),IFERROR(INDEX($L$5:$L$20,MATCH("Green-"&amp;T28,$S$5:$S$20,0)),""))</f>
        <v/>
      </c>
    </row>
    <row r="29">
      <c r="A29" s="77" t="n">
        <v>2</v>
      </c>
      <c r="B29" s="13">
        <f>IFERROR(INDEX($B$5:$B$20,MATCH("Red-"&amp;A29,$R$5:$R$20,0)),IFERROR(INDEX($K$5:$K$20,MATCH("Red-"&amp;A29,$S$5:$S$20,0)),""))</f>
        <v/>
      </c>
      <c r="C29" s="13">
        <f>IFERROR(INDEX($C$5:$C$20,MATCH("Red-"&amp;A29,$R$5:$R$20,0)),IFERROR(INDEX($L$5:$L$20,MATCH("Red-"&amp;A29,$S$5:$S$20,0)),""))</f>
        <v/>
      </c>
      <c r="J29" s="80" t="n">
        <v>2</v>
      </c>
      <c r="K29" s="13">
        <f>IFERROR(INDEX($B$5:$B$20,MATCH("Blue-"&amp;J29,$R$5:$R$20,0)),IFERROR(INDEX($K$5:$K$20,MATCH("Blue-"&amp;J29,$S$5:$S$20,0)),""))</f>
        <v/>
      </c>
      <c r="L29" s="13">
        <f>IFERROR(INDEX($C$5:$C$20,MATCH("Blue-"&amp;J29,$R$5:$R$20,0)),IFERROR(INDEX($L$5:$L$20,MATCH("Blue-"&amp;J29,$S$5:$S$20,0)),""))</f>
        <v/>
      </c>
      <c r="T29" s="79" t="n">
        <v>2</v>
      </c>
      <c r="U29" s="13">
        <f>IFERROR(INDEX($B$5:$B$20,MATCH("Green-"&amp;T29,$R$5:$R$20,0)),IFERROR(INDEX($K$5:$K$20,MATCH("Green-"&amp;T29,$S$5:$S$20,0)),""))</f>
        <v/>
      </c>
      <c r="V29" s="13">
        <f>IFERROR(INDEX($C$5:$C$20,MATCH("Green-"&amp;T29,$R$5:$R$20,0)),IFERROR(INDEX($L$5:$L$20,MATCH("Green-"&amp;T29,$S$5:$S$20,0)),""))</f>
        <v/>
      </c>
    </row>
    <row r="30">
      <c r="A30" s="77" t="n">
        <v>3</v>
      </c>
      <c r="B30" s="16">
        <f>IFERROR(INDEX($B$5:$B$20,MATCH("Red-"&amp;A30,$R$5:$R$20,0)),IFERROR(INDEX($K$5:$K$20,MATCH("Red-"&amp;A30,$S$5:$S$20,0)),""))</f>
        <v/>
      </c>
      <c r="C30" s="16">
        <f>IFERROR(INDEX($C$5:$C$20,MATCH("Red-"&amp;A30,$R$5:$R$20,0)),IFERROR(INDEX($L$5:$L$20,MATCH("Red-"&amp;A30,$S$5:$S$20,0)),""))</f>
        <v/>
      </c>
      <c r="J30" s="80" t="n">
        <v>3</v>
      </c>
      <c r="K30" s="16">
        <f>IFERROR(INDEX($B$5:$B$20,MATCH("Blue-"&amp;J30,$R$5:$R$20,0)),IFERROR(INDEX($K$5:$K$20,MATCH("Blue-"&amp;J30,$S$5:$S$20,0)),""))</f>
        <v/>
      </c>
      <c r="L30" s="16">
        <f>IFERROR(INDEX($C$5:$C$20,MATCH("Blue-"&amp;J30,$R$5:$R$20,0)),IFERROR(INDEX($L$5:$L$20,MATCH("Blue-"&amp;J30,$S$5:$S$20,0)),""))</f>
        <v/>
      </c>
      <c r="T30" s="79" t="n">
        <v>3</v>
      </c>
      <c r="U30" s="16">
        <f>IFERROR(INDEX($B$5:$B$20,MATCH("Green-"&amp;T30,$R$5:$R$20,0)),IFERROR(INDEX($K$5:$K$20,MATCH("Green-"&amp;T30,$S$5:$S$20,0)),""))</f>
        <v/>
      </c>
      <c r="V30" s="16">
        <f>IFERROR(INDEX($C$5:$C$20,MATCH("Green-"&amp;T30,$R$5:$R$20,0)),IFERROR(INDEX($L$5:$L$20,MATCH("Green-"&amp;T30,$S$5:$S$20,0)),""))</f>
        <v/>
      </c>
    </row>
    <row r="31">
      <c r="A31" s="77" t="n">
        <v>4</v>
      </c>
      <c r="B31" s="13">
        <f>IFERROR(INDEX($B$5:$B$20,MATCH("Red-"&amp;A31,$R$5:$R$20,0)),IFERROR(INDEX($K$5:$K$20,MATCH("Red-"&amp;A31,$S$5:$S$20,0)),""))</f>
        <v/>
      </c>
      <c r="C31" s="13">
        <f>IFERROR(INDEX($C$5:$C$20,MATCH("Red-"&amp;A31,$R$5:$R$20,0)),IFERROR(INDEX($L$5:$L$20,MATCH("Red-"&amp;A31,$S$5:$S$20,0)),""))</f>
        <v/>
      </c>
      <c r="J31" s="80" t="n">
        <v>4</v>
      </c>
      <c r="K31" s="13">
        <f>IFERROR(INDEX($B$5:$B$20,MATCH("Blue-"&amp;J31,$R$5:$R$20,0)),IFERROR(INDEX($K$5:$K$20,MATCH("Blue-"&amp;J31,$S$5:$S$20,0)),""))</f>
        <v/>
      </c>
      <c r="L31" s="13">
        <f>IFERROR(INDEX($C$5:$C$20,MATCH("Blue-"&amp;J31,$R$5:$R$20,0)),IFERROR(INDEX($L$5:$L$20,MATCH("Blue-"&amp;J31,$S$5:$S$20,0)),""))</f>
        <v/>
      </c>
      <c r="T31" s="79" t="n">
        <v>4</v>
      </c>
      <c r="U31" s="13">
        <f>IFERROR(INDEX($B$5:$B$20,MATCH("Green-"&amp;T31,$R$5:$R$20,0)),IFERROR(INDEX($K$5:$K$20,MATCH("Green-"&amp;T31,$S$5:$S$20,0)),""))</f>
        <v/>
      </c>
      <c r="V31" s="13">
        <f>IFERROR(INDEX($C$5:$C$20,MATCH("Green-"&amp;T31,$R$5:$R$20,0)),IFERROR(INDEX($L$5:$L$20,MATCH("Green-"&amp;T31,$S$5:$S$20,0)),""))</f>
        <v/>
      </c>
    </row>
    <row r="32">
      <c r="A32" s="77" t="n">
        <v>5</v>
      </c>
      <c r="B32" s="16">
        <f>IFERROR(INDEX($B$5:$B$20,MATCH("Red-"&amp;A32,$R$5:$R$20,0)),IFERROR(INDEX($K$5:$K$20,MATCH("Red-"&amp;A32,$S$5:$S$20,0)),""))</f>
        <v/>
      </c>
      <c r="C32" s="16">
        <f>IFERROR(INDEX($C$5:$C$20,MATCH("Red-"&amp;A32,$R$5:$R$20,0)),IFERROR(INDEX($L$5:$L$20,MATCH("Red-"&amp;A32,$S$5:$S$20,0)),""))</f>
        <v/>
      </c>
      <c r="J32" s="80" t="n">
        <v>5</v>
      </c>
      <c r="K32" s="16">
        <f>IFERROR(INDEX($B$5:$B$20,MATCH("Blue-"&amp;J32,$R$5:$R$20,0)),IFERROR(INDEX($K$5:$K$20,MATCH("Blue-"&amp;J32,$S$5:$S$20,0)),""))</f>
        <v/>
      </c>
      <c r="L32" s="16">
        <f>IFERROR(INDEX($C$5:$C$20,MATCH("Blue-"&amp;J32,$R$5:$R$20,0)),IFERROR(INDEX($L$5:$L$20,MATCH("Blue-"&amp;J32,$S$5:$S$20,0)),""))</f>
        <v/>
      </c>
      <c r="T32" s="79" t="n">
        <v>5</v>
      </c>
      <c r="U32" s="16">
        <f>IFERROR(INDEX($B$5:$B$20,MATCH("Green-"&amp;T32,$R$5:$R$20,0)),IFERROR(INDEX($K$5:$K$20,MATCH("Green-"&amp;T32,$S$5:$S$20,0)),""))</f>
        <v/>
      </c>
      <c r="V32" s="16">
        <f>IFERROR(INDEX($C$5:$C$20,MATCH("Green-"&amp;T32,$R$5:$R$20,0)),IFERROR(INDEX($L$5:$L$20,MATCH("Green-"&amp;T32,$S$5:$S$20,0)),""))</f>
        <v/>
      </c>
    </row>
    <row r="33">
      <c r="A33" s="77" t="n">
        <v>6</v>
      </c>
      <c r="B33" s="13">
        <f>IFERROR(INDEX($B$5:$B$20,MATCH("Red-"&amp;A33,$R$5:$R$20,0)),IFERROR(INDEX($K$5:$K$20,MATCH("Red-"&amp;A33,$S$5:$S$20,0)),""))</f>
        <v/>
      </c>
      <c r="C33" s="13">
        <f>IFERROR(INDEX($C$5:$C$20,MATCH("Red-"&amp;A33,$R$5:$R$20,0)),IFERROR(INDEX($L$5:$L$20,MATCH("Red-"&amp;A33,$S$5:$S$20,0)),""))</f>
        <v/>
      </c>
      <c r="J33" s="80" t="n">
        <v>6</v>
      </c>
      <c r="K33" s="13">
        <f>IFERROR(INDEX($B$5:$B$20,MATCH("Blue-"&amp;J33,$R$5:$R$20,0)),IFERROR(INDEX($K$5:$K$20,MATCH("Blue-"&amp;J33,$S$5:$S$20,0)),""))</f>
        <v/>
      </c>
      <c r="L33" s="13">
        <f>IFERROR(INDEX($C$5:$C$20,MATCH("Blue-"&amp;J33,$R$5:$R$20,0)),IFERROR(INDEX($L$5:$L$20,MATCH("Blue-"&amp;J33,$S$5:$S$20,0)),""))</f>
        <v/>
      </c>
      <c r="T33" s="79" t="n">
        <v>6</v>
      </c>
      <c r="U33" s="13">
        <f>IFERROR(INDEX($B$5:$B$20,MATCH("Green-"&amp;T33,$R$5:$R$20,0)),IFERROR(INDEX($K$5:$K$20,MATCH("Green-"&amp;T33,$S$5:$S$20,0)),""))</f>
        <v/>
      </c>
      <c r="V33" s="13">
        <f>IFERROR(INDEX($C$5:$C$20,MATCH("Green-"&amp;T33,$R$5:$R$20,0)),IFERROR(INDEX($L$5:$L$20,MATCH("Green-"&amp;T33,$S$5:$S$20,0)),""))</f>
        <v/>
      </c>
    </row>
    <row r="34">
      <c r="A34" s="77" t="n">
        <v>7</v>
      </c>
      <c r="B34" s="16">
        <f>IFERROR(INDEX($B$5:$B$20,MATCH("Red-"&amp;A34,$R$5:$R$20,0)),IFERROR(INDEX($K$5:$K$20,MATCH("Red-"&amp;A34,$S$5:$S$20,0)),""))</f>
        <v/>
      </c>
      <c r="C34" s="16">
        <f>IFERROR(INDEX($C$5:$C$20,MATCH("Red-"&amp;A34,$R$5:$R$20,0)),IFERROR(INDEX($L$5:$L$20,MATCH("Red-"&amp;A34,$S$5:$S$20,0)),""))</f>
        <v/>
      </c>
      <c r="J34" s="80" t="n">
        <v>7</v>
      </c>
      <c r="K34" s="16">
        <f>IFERROR(INDEX($B$5:$B$20,MATCH("Blue-"&amp;J34,$R$5:$R$20,0)),IFERROR(INDEX($K$5:$K$20,MATCH("Blue-"&amp;J34,$S$5:$S$20,0)),""))</f>
        <v/>
      </c>
      <c r="L34" s="16">
        <f>IFERROR(INDEX($C$5:$C$20,MATCH("Blue-"&amp;J34,$R$5:$R$20,0)),IFERROR(INDEX($L$5:$L$20,MATCH("Blue-"&amp;J34,$S$5:$S$20,0)),""))</f>
        <v/>
      </c>
      <c r="T34" s="79" t="n">
        <v>7</v>
      </c>
      <c r="U34" s="16">
        <f>IFERROR(INDEX($B$5:$B$20,MATCH("Green-"&amp;T34,$R$5:$R$20,0)),IFERROR(INDEX($K$5:$K$20,MATCH("Green-"&amp;T34,$S$5:$S$20,0)),""))</f>
        <v/>
      </c>
      <c r="V34" s="16">
        <f>IFERROR(INDEX($C$5:$C$20,MATCH("Green-"&amp;T34,$R$5:$R$20,0)),IFERROR(INDEX($L$5:$L$20,MATCH("Green-"&amp;T34,$S$5:$S$20,0)),""))</f>
        <v/>
      </c>
    </row>
    <row r="35">
      <c r="A35" s="77" t="n">
        <v>8</v>
      </c>
      <c r="B35" s="13">
        <f>IFERROR(INDEX($B$5:$B$20,MATCH("Red-"&amp;A35,$R$5:$R$20,0)),IFERROR(INDEX($K$5:$K$20,MATCH("Red-"&amp;A35,$S$5:$S$20,0)),""))</f>
        <v/>
      </c>
      <c r="C35" s="13">
        <f>IFERROR(INDEX($C$5:$C$20,MATCH("Red-"&amp;A35,$R$5:$R$20,0)),IFERROR(INDEX($L$5:$L$20,MATCH("Red-"&amp;A35,$S$5:$S$20,0)),""))</f>
        <v/>
      </c>
      <c r="J35" s="80" t="n">
        <v>8</v>
      </c>
      <c r="K35" s="13">
        <f>IFERROR(INDEX($B$5:$B$20,MATCH("Blue-"&amp;J35,$R$5:$R$20,0)),IFERROR(INDEX($K$5:$K$20,MATCH("Blue-"&amp;J35,$S$5:$S$20,0)),""))</f>
        <v/>
      </c>
      <c r="L35" s="13">
        <f>IFERROR(INDEX($C$5:$C$20,MATCH("Blue-"&amp;J35,$R$5:$R$20,0)),IFERROR(INDEX($L$5:$L$20,MATCH("Blue-"&amp;J35,$S$5:$S$20,0)),""))</f>
        <v/>
      </c>
      <c r="T35" s="79" t="n">
        <v>8</v>
      </c>
      <c r="U35" s="13">
        <f>IFERROR(INDEX($B$5:$B$20,MATCH("Green-"&amp;T35,$R$5:$R$20,0)),IFERROR(INDEX($K$5:$K$20,MATCH("Green-"&amp;T35,$S$5:$S$20,0)),""))</f>
        <v/>
      </c>
      <c r="V35" s="13">
        <f>IFERROR(INDEX($C$5:$C$20,MATCH("Green-"&amp;T35,$R$5:$R$20,0)),IFERROR(INDEX($L$5:$L$20,MATCH("Green-"&amp;T35,$S$5:$S$20,0)),""))</f>
        <v/>
      </c>
    </row>
    <row r="36">
      <c r="A36" s="77" t="n">
        <v>9</v>
      </c>
      <c r="B36" s="16">
        <f>IFERROR(INDEX($B$5:$B$20,MATCH("Red-"&amp;A36,$R$5:$R$20,0)),IFERROR(INDEX($K$5:$K$20,MATCH("Red-"&amp;A36,$S$5:$S$20,0)),""))</f>
        <v/>
      </c>
      <c r="C36" s="16">
        <f>IFERROR(INDEX($C$5:$C$20,MATCH("Red-"&amp;A36,$R$5:$R$20,0)),IFERROR(INDEX($L$5:$L$20,MATCH("Red-"&amp;A36,$S$5:$S$20,0)),""))</f>
        <v/>
      </c>
      <c r="J36" s="80" t="n">
        <v>9</v>
      </c>
      <c r="K36" s="16">
        <f>IFERROR(INDEX($B$5:$B$20,MATCH("Blue-"&amp;J36,$R$5:$R$20,0)),IFERROR(INDEX($K$5:$K$20,MATCH("Blue-"&amp;J36,$S$5:$S$20,0)),""))</f>
        <v/>
      </c>
      <c r="L36" s="16">
        <f>IFERROR(INDEX($C$5:$C$20,MATCH("Blue-"&amp;J36,$R$5:$R$20,0)),IFERROR(INDEX($L$5:$L$20,MATCH("Blue-"&amp;J36,$S$5:$S$20,0)),""))</f>
        <v/>
      </c>
      <c r="T36" s="79" t="n">
        <v>9</v>
      </c>
      <c r="U36" s="16">
        <f>IFERROR(INDEX($B$5:$B$20,MATCH("Green-"&amp;T36,$R$5:$R$20,0)),IFERROR(INDEX($K$5:$K$20,MATCH("Green-"&amp;T36,$S$5:$S$20,0)),""))</f>
        <v/>
      </c>
      <c r="V36" s="16">
        <f>IFERROR(INDEX($C$5:$C$20,MATCH("Green-"&amp;T36,$R$5:$R$20,0)),IFERROR(INDEX($L$5:$L$20,MATCH("Green-"&amp;T36,$S$5:$S$20,0)),""))</f>
        <v/>
      </c>
    </row>
    <row r="37">
      <c r="A37" s="77" t="n">
        <v>10</v>
      </c>
      <c r="B37" s="13">
        <f>IFERROR(INDEX($B$5:$B$20,MATCH("Red-"&amp;A37,$R$5:$R$20,0)),IFERROR(INDEX($K$5:$K$20,MATCH("Red-"&amp;A37,$S$5:$S$20,0)),""))</f>
        <v/>
      </c>
      <c r="C37" s="13">
        <f>IFERROR(INDEX($C$5:$C$20,MATCH("Red-"&amp;A37,$R$5:$R$20,0)),IFERROR(INDEX($L$5:$L$20,MATCH("Red-"&amp;A37,$S$5:$S$20,0)),""))</f>
        <v/>
      </c>
      <c r="J37" s="80" t="n">
        <v>10</v>
      </c>
      <c r="K37" s="13">
        <f>IFERROR(INDEX($B$5:$B$20,MATCH("Blue-"&amp;J37,$R$5:$R$20,0)),IFERROR(INDEX($K$5:$K$20,MATCH("Blue-"&amp;J37,$S$5:$S$20,0)),""))</f>
        <v/>
      </c>
      <c r="L37" s="13">
        <f>IFERROR(INDEX($C$5:$C$20,MATCH("Blue-"&amp;J37,$R$5:$R$20,0)),IFERROR(INDEX($L$5:$L$20,MATCH("Blue-"&amp;J37,$S$5:$S$20,0)),""))</f>
        <v/>
      </c>
      <c r="T37" s="79" t="n">
        <v>10</v>
      </c>
      <c r="U37" s="13">
        <f>IFERROR(INDEX($B$5:$B$20,MATCH("Green-"&amp;T37,$R$5:$R$20,0)),IFERROR(INDEX($K$5:$K$20,MATCH("Green-"&amp;T37,$S$5:$S$20,0)),""))</f>
        <v/>
      </c>
      <c r="V37" s="13">
        <f>IFERROR(INDEX($C$5:$C$20,MATCH("Green-"&amp;T37,$R$5:$R$20,0)),IFERROR(INDEX($L$5:$L$20,MATCH("Green-"&amp;T37,$S$5:$S$20,0)),""))</f>
        <v/>
      </c>
    </row>
    <row r="38">
      <c r="A38" s="77" t="n">
        <v>11</v>
      </c>
      <c r="B38" s="16">
        <f>IFERROR(INDEX($B$5:$B$20,MATCH("Red-"&amp;A38,$R$5:$R$20,0)),IFERROR(INDEX($K$5:$K$20,MATCH("Red-"&amp;A38,$S$5:$S$20,0)),""))</f>
        <v/>
      </c>
      <c r="C38" s="16">
        <f>IFERROR(INDEX($C$5:$C$20,MATCH("Red-"&amp;A38,$R$5:$R$20,0)),IFERROR(INDEX($L$5:$L$20,MATCH("Red-"&amp;A38,$S$5:$S$20,0)),""))</f>
        <v/>
      </c>
      <c r="J38" s="80" t="n">
        <v>11</v>
      </c>
      <c r="K38" s="16">
        <f>IFERROR(INDEX($B$5:$B$20,MATCH("Blue-"&amp;J38,$R$5:$R$20,0)),IFERROR(INDEX($K$5:$K$20,MATCH("Blue-"&amp;J38,$S$5:$S$20,0)),""))</f>
        <v/>
      </c>
      <c r="L38" s="16">
        <f>IFERROR(INDEX($C$5:$C$20,MATCH("Blue-"&amp;J38,$R$5:$R$20,0)),IFERROR(INDEX($L$5:$L$20,MATCH("Blue-"&amp;J38,$S$5:$S$20,0)),""))</f>
        <v/>
      </c>
      <c r="T38" s="79" t="n">
        <v>11</v>
      </c>
      <c r="U38" s="16">
        <f>IFERROR(INDEX($B$5:$B$20,MATCH("Green-"&amp;T38,$R$5:$R$20,0)),IFERROR(INDEX($K$5:$K$20,MATCH("Green-"&amp;T38,$S$5:$S$20,0)),""))</f>
        <v/>
      </c>
      <c r="V38" s="16">
        <f>IFERROR(INDEX($C$5:$C$20,MATCH("Green-"&amp;T38,$R$5:$R$20,0)),IFERROR(INDEX($L$5:$L$20,MATCH("Green-"&amp;T38,$S$5:$S$20,0)),""))</f>
        <v/>
      </c>
    </row>
    <row r="39">
      <c r="A39" s="77" t="n">
        <v>12</v>
      </c>
      <c r="B39" s="13">
        <f>IFERROR(INDEX($B$5:$B$20,MATCH("Red-"&amp;A39,$R$5:$R$20,0)),IFERROR(INDEX($K$5:$K$20,MATCH("Red-"&amp;A39,$S$5:$S$20,0)),""))</f>
        <v/>
      </c>
      <c r="C39" s="13">
        <f>IFERROR(INDEX($C$5:$C$20,MATCH("Red-"&amp;A39,$R$5:$R$20,0)),IFERROR(INDEX($L$5:$L$20,MATCH("Red-"&amp;A39,$S$5:$S$20,0)),""))</f>
        <v/>
      </c>
      <c r="J39" s="80" t="n">
        <v>12</v>
      </c>
      <c r="K39" s="13">
        <f>IFERROR(INDEX($B$5:$B$20,MATCH("Blue-"&amp;J39,$R$5:$R$20,0)),IFERROR(INDEX($K$5:$K$20,MATCH("Blue-"&amp;J39,$S$5:$S$20,0)),""))</f>
        <v/>
      </c>
      <c r="L39" s="13">
        <f>IFERROR(INDEX($C$5:$C$20,MATCH("Blue-"&amp;J39,$R$5:$R$20,0)),IFERROR(INDEX($L$5:$L$20,MATCH("Blue-"&amp;J39,$S$5:$S$20,0)),""))</f>
        <v/>
      </c>
      <c r="T39" s="79" t="n">
        <v>12</v>
      </c>
      <c r="U39" s="13">
        <f>IFERROR(INDEX($B$5:$B$20,MATCH("Green-"&amp;T39,$R$5:$R$20,0)),IFERROR(INDEX($K$5:$K$20,MATCH("Green-"&amp;T39,$S$5:$S$20,0)),""))</f>
        <v/>
      </c>
      <c r="V39" s="13">
        <f>IFERROR(INDEX($C$5:$C$20,MATCH("Green-"&amp;T39,$R$5:$R$20,0)),IFERROR(INDEX($L$5:$L$20,MATCH("Green-"&amp;T39,$S$5:$S$20,0)),""))</f>
        <v/>
      </c>
    </row>
    <row r="40">
      <c r="A40" s="77" t="n">
        <v>13</v>
      </c>
      <c r="B40" s="16">
        <f>IFERROR(INDEX($B$5:$B$20,MATCH("Red-"&amp;A40,$R$5:$R$20,0)),IFERROR(INDEX($K$5:$K$20,MATCH("Red-"&amp;A40,$S$5:$S$20,0)),""))</f>
        <v/>
      </c>
      <c r="C40" s="16">
        <f>IFERROR(INDEX($C$5:$C$20,MATCH("Red-"&amp;A40,$R$5:$R$20,0)),IFERROR(INDEX($L$5:$L$20,MATCH("Red-"&amp;A40,$S$5:$S$20,0)),""))</f>
        <v/>
      </c>
    </row>
    <row r="41">
      <c r="A41" s="77" t="n">
        <v>14</v>
      </c>
      <c r="B41" s="13">
        <f>IFERROR(INDEX($B$5:$B$20,MATCH("Red-"&amp;A41,$R$5:$R$20,0)),IFERROR(INDEX($K$5:$K$20,MATCH("Red-"&amp;A41,$S$5:$S$20,0)),""))</f>
        <v/>
      </c>
      <c r="C41" s="13">
        <f>IFERROR(INDEX($C$5:$C$20,MATCH("Red-"&amp;A41,$R$5:$R$20,0)),IFERROR(INDEX($L$5:$L$20,MATCH("Red-"&amp;A41,$S$5:$S$20,0)),""))</f>
        <v/>
      </c>
    </row>
    <row r="42">
      <c r="A42" s="77" t="n">
        <v>15</v>
      </c>
      <c r="B42" s="16">
        <f>IFERROR(INDEX($B$5:$B$20,MATCH("Red-"&amp;A42,$R$5:$R$20,0)),IFERROR(INDEX($K$5:$K$20,MATCH("Red-"&amp;A42,$S$5:$S$20,0)),""))</f>
        <v/>
      </c>
      <c r="C42" s="16">
        <f>IFERROR(INDEX($C$5:$C$20,MATCH("Red-"&amp;A42,$R$5:$R$20,0)),IFERROR(INDEX($L$5:$L$20,MATCH("Red-"&amp;A42,$S$5:$S$20,0)),""))</f>
        <v/>
      </c>
    </row>
    <row r="43">
      <c r="A43" s="77" t="n">
        <v>16</v>
      </c>
      <c r="B43" s="13">
        <f>IFERROR(INDEX($B$5:$B$20,MATCH("Red-"&amp;A43,$R$5:$R$20,0)),IFERROR(INDEX($K$5:$K$20,MATCH("Red-"&amp;A43,$S$5:$S$20,0)),""))</f>
        <v/>
      </c>
      <c r="C43" s="13">
        <f>IFERROR(INDEX($C$5:$C$20,MATCH("Red-"&amp;A43,$R$5:$R$20,0)),IFERROR(INDEX($L$5:$L$20,MATCH("Red-"&amp;A43,$S$5:$S$20,0)),""))</f>
        <v/>
      </c>
    </row>
    <row r="45">
      <c r="A45" s="90" t="inlineStr">
        <is>
          <t>Live: set the Split Patch swatch + number on either channel block above and the matching location here fills in automatically. Blank = not patched yet.</t>
        </is>
      </c>
    </row>
    <row r="46"/>
  </sheetData>
  <mergeCells count="13">
    <mergeCell ref="A22:Q22"/>
    <mergeCell ref="B24:C24"/>
    <mergeCell ref="A3:Q3"/>
    <mergeCell ref="H24:I24"/>
    <mergeCell ref="O23:P23"/>
    <mergeCell ref="O24:P24"/>
    <mergeCell ref="B23:C23"/>
    <mergeCell ref="A26:Q26"/>
    <mergeCell ref="A45:Q46"/>
    <mergeCell ref="D4:E4"/>
    <mergeCell ref="H23:I23"/>
    <mergeCell ref="M4:N4"/>
    <mergeCell ref="A1:Q1"/>
  </mergeCells>
  <conditionalFormatting sqref="D5:D20">
    <cfRule type="expression" priority="1" dxfId="0">
      <formula>$D5="Red"</formula>
    </cfRule>
    <cfRule type="expression" priority="3" dxfId="1">
      <formula>$D5="Green"</formula>
    </cfRule>
    <cfRule type="expression" priority="5" dxfId="2">
      <formula>$D5="Blue"</formula>
    </cfRule>
  </conditionalFormatting>
  <conditionalFormatting sqref="E5:E20">
    <cfRule type="expression" priority="2" dxfId="0">
      <formula>$D5="Red"</formula>
    </cfRule>
    <cfRule type="expression" priority="4" dxfId="1">
      <formula>$D5="Green"</formula>
    </cfRule>
    <cfRule type="expression" priority="6" dxfId="2">
      <formula>$D5="Blue"</formula>
    </cfRule>
  </conditionalFormatting>
  <conditionalFormatting sqref="M5:M20">
    <cfRule type="expression" priority="7" dxfId="0">
      <formula>$M5="Red"</formula>
    </cfRule>
    <cfRule type="expression" priority="9" dxfId="1">
      <formula>$M5="Green"</formula>
    </cfRule>
    <cfRule type="expression" priority="11" dxfId="2">
      <formula>$M5="Blue"</formula>
    </cfRule>
  </conditionalFormatting>
  <conditionalFormatting sqref="N5:N20">
    <cfRule type="expression" priority="8" dxfId="0">
      <formula>$M5="Red"</formula>
    </cfRule>
    <cfRule type="expression" priority="10" dxfId="1">
      <formula>$M5="Green"</formula>
    </cfRule>
    <cfRule type="expression" priority="12" dxfId="2">
      <formula>$M5="Blue"</formula>
    </cfRule>
  </conditionalFormatting>
  <dataValidations count="6">
    <dataValidation sqref="D5:D20" showDropDown="0" showInputMessage="0" showErrorMessage="0" allowBlank="1" type="list">
      <formula1>"Red,Green,Blue"</formula1>
    </dataValidation>
    <dataValidation sqref="M5:M20" showDropDown="0" showInputMessage="0" showErrorMessage="0" allowBlank="1" type="list">
      <formula1>"Red,Green,Blue"</formula1>
    </dataValidation>
    <dataValidation sqref="F5:F20" showDropDown="0" showInputMessage="0" showErrorMessage="0" allowBlank="1" type="list">
      <formula1>"✓"</formula1>
    </dataValidation>
    <dataValidation sqref="O5:O20" showDropDown="0" showInputMessage="0" showErrorMessage="0" allowBlank="1" type="list">
      <formula1>"✓"</formula1>
    </dataValidation>
    <dataValidation sqref="G5:G20" showDropDown="0" showInputMessage="0" showErrorMessage="0" allowBlank="1" type="list">
      <formula1>"Short,Tall,Boom,Bar,Clip,DI,—"</formula1>
    </dataValidation>
    <dataValidation sqref="P5:P20" showDropDown="0" showInputMessage="0" showErrorMessage="0" allowBlank="1" type="list">
      <formula1>"Short,Tall,Boom,Bar,Clip,DI,—"</formula1>
    </dataValidation>
  </dataValidations>
  <pageMargins left="0.4" right="0.4" top="0.5" bottom="0.5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W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20" customWidth="1" min="3" max="3"/>
    <col width="14" customWidth="1" min="4" max="4"/>
    <col width="10" customWidth="1" min="5" max="5"/>
    <col width="6" customWidth="1" min="6" max="6"/>
    <col width="9" customWidth="1" min="7" max="7"/>
    <col width="36" customWidth="1" min="8" max="8"/>
    <col width="2.5" customWidth="1" min="9" max="9"/>
    <col width="13" customWidth="1" min="10" max="10"/>
    <col width="15" customWidth="1" min="11" max="11"/>
    <col width="18" customWidth="1" min="12" max="12"/>
    <col width="2" customWidth="1" min="13" max="13"/>
    <col width="5" customWidth="1" min="14" max="14"/>
    <col width="6" customWidth="1" min="15" max="15"/>
    <col width="18" customWidth="1" min="16" max="16"/>
    <col width="2" customWidth="1" min="17" max="17"/>
    <col width="5" customWidth="1" min="18" max="18"/>
    <col width="6" customWidth="1" min="19" max="19"/>
    <col width="18" customWidth="1" min="20" max="20"/>
    <col hidden="1" width="1" customWidth="1" min="23" max="23"/>
  </cols>
  <sheetData>
    <row r="1" ht="26" customHeight="1">
      <c r="A1" s="1" t="inlineStr">
        <is>
          <t>INPUT LIST — MASTER TEMPLATE</t>
        </is>
      </c>
    </row>
    <row r="2" ht="16" customHeight="1">
      <c r="A2" s="3" t="n"/>
      <c r="B2" s="2" t="inlineStr">
        <is>
          <t>Show:</t>
        </is>
      </c>
      <c r="C2" s="3" t="n"/>
      <c r="D2" s="2" t="inlineStr">
        <is>
          <t>Venue:</t>
        </is>
      </c>
      <c r="E2" s="3" t="n"/>
      <c r="F2" s="3" t="n"/>
      <c r="G2" s="2" t="inlineStr">
        <is>
          <t>Date:</t>
        </is>
      </c>
      <c r="H2" s="2" t="inlineStr">
        <is>
          <t>FOH:</t>
        </is>
      </c>
      <c r="I2" s="3" t="n"/>
      <c r="J2" s="2" t="inlineStr">
        <is>
          <t>MON:</t>
        </is>
      </c>
      <c r="K2" s="3" t="n"/>
    </row>
    <row r="3" ht="22" customHeight="1">
      <c r="A3" s="4" t="inlineStr">
        <is>
          <t>Split Patch format: R## / G## / B##  (letter = snake zone, number = location — R 1–16, G 1–12, B 1–12). The color bar auto-fills to confirm the zone as you type. Row 6 is a worked example — clear before a show.</t>
        </is>
      </c>
    </row>
    <row r="4" ht="4" customHeight="1"/>
    <row r="5" ht="18" customHeight="1">
      <c r="A5" s="5" t="inlineStr"/>
      <c r="B5" s="5" t="inlineStr">
        <is>
          <t>Ch</t>
        </is>
      </c>
      <c r="C5" s="5" t="inlineStr">
        <is>
          <t>Instrument</t>
        </is>
      </c>
      <c r="D5" s="5" t="inlineStr">
        <is>
          <t>Mic/DI</t>
        </is>
      </c>
      <c r="E5" s="5" t="inlineStr">
        <is>
          <t>Split Patch</t>
        </is>
      </c>
      <c r="F5" s="5" t="inlineStr">
        <is>
          <t>48V</t>
        </is>
      </c>
      <c r="G5" s="5" t="inlineStr">
        <is>
          <t>Stand</t>
        </is>
      </c>
      <c r="H5" s="5" t="inlineStr">
        <is>
          <t>Notes</t>
        </is>
      </c>
      <c r="J5" s="6" t="inlineStr">
        <is>
          <t>MIXES / AUX</t>
        </is>
      </c>
      <c r="K5" s="7" t="n"/>
    </row>
    <row r="6" ht="15" customHeight="1">
      <c r="A6" s="39" t="inlineStr"/>
      <c r="B6" s="45" t="inlineStr">
        <is>
          <t>1</t>
        </is>
      </c>
      <c r="C6" s="9" t="inlineStr">
        <is>
          <t>Kick In</t>
        </is>
      </c>
      <c r="D6" s="9" t="inlineStr">
        <is>
          <t>DM6</t>
        </is>
      </c>
      <c r="E6" s="45" t="inlineStr">
        <is>
          <t>R-03</t>
        </is>
      </c>
      <c r="F6" s="8" t="inlineStr">
        <is>
          <t>✓</t>
        </is>
      </c>
      <c r="G6" s="9" t="inlineStr">
        <is>
          <t>Short</t>
        </is>
      </c>
      <c r="H6" s="10" t="inlineStr">
        <is>
          <t>EXAMPLE — delete before show</t>
        </is>
      </c>
      <c r="J6" s="11" t="inlineStr">
        <is>
          <t>Mix 1</t>
        </is>
      </c>
      <c r="K6" s="12" t="inlineStr"/>
      <c r="W6">
        <f>IF($E6="","",IF(UPPER(LEFT($E6,1))="R","Red",IF(UPPER(LEFT($E6,1))="G","Green",IF(UPPER(LEFT($E6,1))="B","Blue","")))&amp;"-"&amp;IFERROR(VALUE(SUBSTITUTE(MID($E6,2,10),"-","")),""))</f>
        <v/>
      </c>
    </row>
    <row r="7" ht="15" customHeight="1">
      <c r="A7" s="39" t="inlineStr"/>
      <c r="B7" s="46" t="n">
        <v>2</v>
      </c>
      <c r="C7" s="14" t="n"/>
      <c r="D7" s="14" t="n"/>
      <c r="E7" s="46" t="n"/>
      <c r="F7" s="13" t="n"/>
      <c r="G7" s="14" t="n"/>
      <c r="H7" s="15" t="n"/>
      <c r="J7" s="11" t="inlineStr">
        <is>
          <t>Mix 2</t>
        </is>
      </c>
      <c r="K7" s="12" t="inlineStr"/>
      <c r="W7">
        <f>IF($E7="","",IF(UPPER(LEFT($E7,1))="R","Red",IF(UPPER(LEFT($E7,1))="G","Green",IF(UPPER(LEFT($E7,1))="B","Blue","")))&amp;"-"&amp;IFERROR(VALUE(SUBSTITUTE(MID($E7,2,10),"-","")),""))</f>
        <v/>
      </c>
    </row>
    <row r="8" ht="15" customHeight="1">
      <c r="A8" s="39" t="inlineStr"/>
      <c r="B8" s="47" t="n">
        <v>3</v>
      </c>
      <c r="C8" s="17" t="n"/>
      <c r="D8" s="17" t="n"/>
      <c r="E8" s="47" t="n"/>
      <c r="F8" s="16" t="n"/>
      <c r="G8" s="17" t="n"/>
      <c r="H8" s="18" t="n"/>
      <c r="J8" s="11" t="inlineStr">
        <is>
          <t>Mix 3</t>
        </is>
      </c>
      <c r="K8" s="12" t="inlineStr"/>
      <c r="W8">
        <f>IF($E8="","",IF(UPPER(LEFT($E8,1))="R","Red",IF(UPPER(LEFT($E8,1))="G","Green",IF(UPPER(LEFT($E8,1))="B","Blue","")))&amp;"-"&amp;IFERROR(VALUE(SUBSTITUTE(MID($E8,2,10),"-","")),""))</f>
        <v/>
      </c>
    </row>
    <row r="9" ht="15" customHeight="1">
      <c r="A9" s="39" t="inlineStr"/>
      <c r="B9" s="46" t="n">
        <v>4</v>
      </c>
      <c r="C9" s="14" t="n"/>
      <c r="D9" s="14" t="n"/>
      <c r="E9" s="46" t="n"/>
      <c r="F9" s="13" t="n"/>
      <c r="G9" s="14" t="n"/>
      <c r="H9" s="15" t="n"/>
      <c r="J9" s="11" t="inlineStr">
        <is>
          <t>Mix 4</t>
        </is>
      </c>
      <c r="K9" s="12" t="inlineStr"/>
      <c r="W9">
        <f>IF($E9="","",IF(UPPER(LEFT($E9,1))="R","Red",IF(UPPER(LEFT($E9,1))="G","Green",IF(UPPER(LEFT($E9,1))="B","Blue","")))&amp;"-"&amp;IFERROR(VALUE(SUBSTITUTE(MID($E9,2,10),"-","")),""))</f>
        <v/>
      </c>
    </row>
    <row r="10" ht="15" customHeight="1">
      <c r="A10" s="39" t="inlineStr"/>
      <c r="B10" s="47" t="n">
        <v>5</v>
      </c>
      <c r="C10" s="17" t="n"/>
      <c r="D10" s="17" t="n"/>
      <c r="E10" s="47" t="n"/>
      <c r="F10" s="16" t="n"/>
      <c r="G10" s="17" t="n"/>
      <c r="H10" s="18" t="n"/>
      <c r="J10" s="11" t="inlineStr">
        <is>
          <t>Mix 5</t>
        </is>
      </c>
      <c r="K10" s="12" t="inlineStr"/>
      <c r="W10">
        <f>IF($E10="","",IF(UPPER(LEFT($E10,1))="R","Red",IF(UPPER(LEFT($E10,1))="G","Green",IF(UPPER(LEFT($E10,1))="B","Blue","")))&amp;"-"&amp;IFERROR(VALUE(SUBSTITUTE(MID($E10,2,10),"-","")),""))</f>
        <v/>
      </c>
    </row>
    <row r="11" ht="15" customHeight="1">
      <c r="A11" s="39" t="inlineStr"/>
      <c r="B11" s="46" t="n">
        <v>6</v>
      </c>
      <c r="C11" s="14" t="n"/>
      <c r="D11" s="14" t="n"/>
      <c r="E11" s="46" t="n"/>
      <c r="F11" s="13" t="n"/>
      <c r="G11" s="14" t="n"/>
      <c r="H11" s="15" t="n"/>
      <c r="J11" s="11" t="inlineStr">
        <is>
          <t>Mix 6</t>
        </is>
      </c>
      <c r="K11" s="12" t="inlineStr"/>
      <c r="W11">
        <f>IF($E11="","",IF(UPPER(LEFT($E11,1))="R","Red",IF(UPPER(LEFT($E11,1))="G","Green",IF(UPPER(LEFT($E11,1))="B","Blue","")))&amp;"-"&amp;IFERROR(VALUE(SUBSTITUTE(MID($E11,2,10),"-","")),""))</f>
        <v/>
      </c>
    </row>
    <row r="12" ht="15" customHeight="1">
      <c r="A12" s="39" t="inlineStr"/>
      <c r="B12" s="47" t="n">
        <v>7</v>
      </c>
      <c r="C12" s="17" t="n"/>
      <c r="D12" s="17" t="n"/>
      <c r="E12" s="47" t="n"/>
      <c r="F12" s="16" t="n"/>
      <c r="G12" s="17" t="n"/>
      <c r="H12" s="18" t="n"/>
      <c r="W12">
        <f>IF($E12="","",IF(UPPER(LEFT($E12,1))="R","Red",IF(UPPER(LEFT($E12,1))="G","Green",IF(UPPER(LEFT($E12,1))="B","Blue","")))&amp;"-"&amp;IFERROR(VALUE(SUBSTITUTE(MID($E12,2,10),"-","")),""))</f>
        <v/>
      </c>
    </row>
    <row r="13" ht="16" customHeight="1">
      <c r="A13" s="39" t="inlineStr"/>
      <c r="B13" s="46" t="n">
        <v>8</v>
      </c>
      <c r="C13" s="14" t="n"/>
      <c r="D13" s="14" t="n"/>
      <c r="E13" s="46" t="n"/>
      <c r="F13" s="13" t="n"/>
      <c r="G13" s="14" t="n"/>
      <c r="H13" s="15" t="n"/>
      <c r="J13" s="51" t="inlineStr">
        <is>
          <t>SNAKE PATCH SHEETS — auto-fills from Split Patch</t>
        </is>
      </c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7" t="n"/>
      <c r="W13">
        <f>IF($E13="","",IF(UPPER(LEFT($E13,1))="R","Red",IF(UPPER(LEFT($E13,1))="G","Green",IF(UPPER(LEFT($E13,1))="B","Blue","")))&amp;"-"&amp;IFERROR(VALUE(SUBSTITUTE(MID($E13,2,10),"-","")),""))</f>
        <v/>
      </c>
    </row>
    <row r="14" ht="15" customHeight="1">
      <c r="A14" s="39" t="inlineStr"/>
      <c r="B14" s="47" t="n">
        <v>9</v>
      </c>
      <c r="C14" s="17" t="n"/>
      <c r="D14" s="17" t="n"/>
      <c r="E14" s="47" t="n"/>
      <c r="F14" s="16" t="n"/>
      <c r="G14" s="17" t="n"/>
      <c r="H14" s="18" t="n"/>
      <c r="J14" s="53" t="inlineStr">
        <is>
          <t>Loc</t>
        </is>
      </c>
      <c r="K14" s="53" t="inlineStr">
        <is>
          <t>Ch</t>
        </is>
      </c>
      <c r="L14" s="54" t="inlineStr">
        <is>
          <t>Instrument</t>
        </is>
      </c>
      <c r="N14" s="55" t="inlineStr">
        <is>
          <t>Loc</t>
        </is>
      </c>
      <c r="O14" s="55" t="inlineStr">
        <is>
          <t>Ch</t>
        </is>
      </c>
      <c r="P14" s="56" t="inlineStr">
        <is>
          <t>Instrument</t>
        </is>
      </c>
      <c r="R14" s="57" t="inlineStr">
        <is>
          <t>Loc</t>
        </is>
      </c>
      <c r="S14" s="57" t="inlineStr">
        <is>
          <t>Ch</t>
        </is>
      </c>
      <c r="T14" s="58" t="inlineStr">
        <is>
          <t>Instrument</t>
        </is>
      </c>
      <c r="W14">
        <f>IF($E14="","",IF(UPPER(LEFT($E14,1))="R","Red",IF(UPPER(LEFT($E14,1))="G","Green",IF(UPPER(LEFT($E14,1))="B","Blue","")))&amp;"-"&amp;IFERROR(VALUE(SUBSTITUTE(MID($E14,2,10),"-","")),""))</f>
        <v/>
      </c>
    </row>
    <row r="15" ht="15" customHeight="1">
      <c r="A15" s="39" t="inlineStr"/>
      <c r="B15" s="46" t="n">
        <v>10</v>
      </c>
      <c r="C15" s="14" t="n"/>
      <c r="D15" s="14" t="n"/>
      <c r="E15" s="46" t="n"/>
      <c r="F15" s="13" t="n"/>
      <c r="G15" s="14" t="n"/>
      <c r="H15" s="15" t="n"/>
      <c r="J15" s="16" t="n">
        <v>1</v>
      </c>
      <c r="K15" s="16">
        <f>IFERROR(INDEX($B$6:$B$37,MATCH("Red-"&amp;J15,$W$6:$W$37,0)),"")</f>
        <v/>
      </c>
      <c r="L15" s="17">
        <f>IFERROR(INDEX($C$6:$C$37,MATCH("Red-"&amp;J15,$W$6:$W$37,0)),"")</f>
        <v/>
      </c>
      <c r="N15" s="16" t="n">
        <v>1</v>
      </c>
      <c r="O15" s="16">
        <f>IFERROR(INDEX($B$6:$B$37,MATCH("Green-"&amp;N15,$W$6:$W$37,0)),"")</f>
        <v/>
      </c>
      <c r="P15" s="17">
        <f>IFERROR(INDEX($C$6:$C$37,MATCH("Green-"&amp;N15,$W$6:$W$37,0)),"")</f>
        <v/>
      </c>
      <c r="R15" s="16" t="n">
        <v>1</v>
      </c>
      <c r="S15" s="16">
        <f>IFERROR(INDEX($B$6:$B$37,MATCH("Blue-"&amp;R15,$W$6:$W$37,0)),"")</f>
        <v/>
      </c>
      <c r="T15" s="17">
        <f>IFERROR(INDEX($C$6:$C$37,MATCH("Blue-"&amp;R15,$W$6:$W$37,0)),"")</f>
        <v/>
      </c>
      <c r="W15">
        <f>IF($E15="","",IF(UPPER(LEFT($E15,1))="R","Red",IF(UPPER(LEFT($E15,1))="G","Green",IF(UPPER(LEFT($E15,1))="B","Blue","")))&amp;"-"&amp;IFERROR(VALUE(SUBSTITUTE(MID($E15,2,10),"-","")),""))</f>
        <v/>
      </c>
    </row>
    <row r="16" ht="15" customHeight="1">
      <c r="A16" s="39" t="inlineStr"/>
      <c r="B16" s="47" t="n">
        <v>11</v>
      </c>
      <c r="C16" s="17" t="n"/>
      <c r="D16" s="17" t="n"/>
      <c r="E16" s="47" t="n"/>
      <c r="F16" s="16" t="n"/>
      <c r="G16" s="17" t="n"/>
      <c r="H16" s="18" t="n"/>
      <c r="J16" s="13" t="n">
        <v>2</v>
      </c>
      <c r="K16" s="13">
        <f>IFERROR(INDEX($B$6:$B$37,MATCH("Red-"&amp;J16,$W$6:$W$37,0)),"")</f>
        <v/>
      </c>
      <c r="L16" s="14">
        <f>IFERROR(INDEX($C$6:$C$37,MATCH("Red-"&amp;J16,$W$6:$W$37,0)),"")</f>
        <v/>
      </c>
      <c r="N16" s="13" t="n">
        <v>2</v>
      </c>
      <c r="O16" s="13">
        <f>IFERROR(INDEX($B$6:$B$37,MATCH("Green-"&amp;N16,$W$6:$W$37,0)),"")</f>
        <v/>
      </c>
      <c r="P16" s="14">
        <f>IFERROR(INDEX($C$6:$C$37,MATCH("Green-"&amp;N16,$W$6:$W$37,0)),"")</f>
        <v/>
      </c>
      <c r="R16" s="13" t="n">
        <v>2</v>
      </c>
      <c r="S16" s="13">
        <f>IFERROR(INDEX($B$6:$B$37,MATCH("Blue-"&amp;R16,$W$6:$W$37,0)),"")</f>
        <v/>
      </c>
      <c r="T16" s="14">
        <f>IFERROR(INDEX($C$6:$C$37,MATCH("Blue-"&amp;R16,$W$6:$W$37,0)),"")</f>
        <v/>
      </c>
      <c r="W16">
        <f>IF($E16="","",IF(UPPER(LEFT($E16,1))="R","Red",IF(UPPER(LEFT($E16,1))="G","Green",IF(UPPER(LEFT($E16,1))="B","Blue","")))&amp;"-"&amp;IFERROR(VALUE(SUBSTITUTE(MID($E16,2,10),"-","")),""))</f>
        <v/>
      </c>
    </row>
    <row r="17" ht="15" customHeight="1">
      <c r="A17" s="39" t="inlineStr"/>
      <c r="B17" s="46" t="n">
        <v>12</v>
      </c>
      <c r="C17" s="14" t="n"/>
      <c r="D17" s="14" t="n"/>
      <c r="E17" s="46" t="n"/>
      <c r="F17" s="13" t="n"/>
      <c r="G17" s="14" t="n"/>
      <c r="H17" s="15" t="n"/>
      <c r="J17" s="16" t="n">
        <v>3</v>
      </c>
      <c r="K17" s="16">
        <f>IFERROR(INDEX($B$6:$B$37,MATCH("Red-"&amp;J17,$W$6:$W$37,0)),"")</f>
        <v/>
      </c>
      <c r="L17" s="17">
        <f>IFERROR(INDEX($C$6:$C$37,MATCH("Red-"&amp;J17,$W$6:$W$37,0)),"")</f>
        <v/>
      </c>
      <c r="N17" s="16" t="n">
        <v>3</v>
      </c>
      <c r="O17" s="16">
        <f>IFERROR(INDEX($B$6:$B$37,MATCH("Green-"&amp;N17,$W$6:$W$37,0)),"")</f>
        <v/>
      </c>
      <c r="P17" s="17">
        <f>IFERROR(INDEX($C$6:$C$37,MATCH("Green-"&amp;N17,$W$6:$W$37,0)),"")</f>
        <v/>
      </c>
      <c r="R17" s="16" t="n">
        <v>3</v>
      </c>
      <c r="S17" s="16">
        <f>IFERROR(INDEX($B$6:$B$37,MATCH("Blue-"&amp;R17,$W$6:$W$37,0)),"")</f>
        <v/>
      </c>
      <c r="T17" s="17">
        <f>IFERROR(INDEX($C$6:$C$37,MATCH("Blue-"&amp;R17,$W$6:$W$37,0)),"")</f>
        <v/>
      </c>
      <c r="W17">
        <f>IF($E17="","",IF(UPPER(LEFT($E17,1))="R","Red",IF(UPPER(LEFT($E17,1))="G","Green",IF(UPPER(LEFT($E17,1))="B","Blue","")))&amp;"-"&amp;IFERROR(VALUE(SUBSTITUTE(MID($E17,2,10),"-","")),""))</f>
        <v/>
      </c>
    </row>
    <row r="18" ht="15" customHeight="1">
      <c r="A18" s="39" t="inlineStr"/>
      <c r="B18" s="47" t="n">
        <v>13</v>
      </c>
      <c r="C18" s="17" t="n"/>
      <c r="D18" s="17" t="n"/>
      <c r="E18" s="47" t="n"/>
      <c r="F18" s="16" t="n"/>
      <c r="G18" s="17" t="n"/>
      <c r="H18" s="18" t="n"/>
      <c r="J18" s="13" t="n">
        <v>4</v>
      </c>
      <c r="K18" s="13">
        <f>IFERROR(INDEX($B$6:$B$37,MATCH("Red-"&amp;J18,$W$6:$W$37,0)),"")</f>
        <v/>
      </c>
      <c r="L18" s="14">
        <f>IFERROR(INDEX($C$6:$C$37,MATCH("Red-"&amp;J18,$W$6:$W$37,0)),"")</f>
        <v/>
      </c>
      <c r="N18" s="13" t="n">
        <v>4</v>
      </c>
      <c r="O18" s="13">
        <f>IFERROR(INDEX($B$6:$B$37,MATCH("Green-"&amp;N18,$W$6:$W$37,0)),"")</f>
        <v/>
      </c>
      <c r="P18" s="14">
        <f>IFERROR(INDEX($C$6:$C$37,MATCH("Green-"&amp;N18,$W$6:$W$37,0)),"")</f>
        <v/>
      </c>
      <c r="R18" s="13" t="n">
        <v>4</v>
      </c>
      <c r="S18" s="13">
        <f>IFERROR(INDEX($B$6:$B$37,MATCH("Blue-"&amp;R18,$W$6:$W$37,0)),"")</f>
        <v/>
      </c>
      <c r="T18" s="14">
        <f>IFERROR(INDEX($C$6:$C$37,MATCH("Blue-"&amp;R18,$W$6:$W$37,0)),"")</f>
        <v/>
      </c>
      <c r="W18">
        <f>IF($E18="","",IF(UPPER(LEFT($E18,1))="R","Red",IF(UPPER(LEFT($E18,1))="G","Green",IF(UPPER(LEFT($E18,1))="B","Blue","")))&amp;"-"&amp;IFERROR(VALUE(SUBSTITUTE(MID($E18,2,10),"-","")),""))</f>
        <v/>
      </c>
    </row>
    <row r="19" ht="15" customHeight="1">
      <c r="A19" s="39" t="inlineStr"/>
      <c r="B19" s="46" t="n">
        <v>14</v>
      </c>
      <c r="C19" s="14" t="n"/>
      <c r="D19" s="14" t="n"/>
      <c r="E19" s="46" t="n"/>
      <c r="F19" s="13" t="n"/>
      <c r="G19" s="14" t="n"/>
      <c r="H19" s="15" t="n"/>
      <c r="J19" s="16" t="n">
        <v>5</v>
      </c>
      <c r="K19" s="16">
        <f>IFERROR(INDEX($B$6:$B$37,MATCH("Red-"&amp;J19,$W$6:$W$37,0)),"")</f>
        <v/>
      </c>
      <c r="L19" s="17">
        <f>IFERROR(INDEX($C$6:$C$37,MATCH("Red-"&amp;J19,$W$6:$W$37,0)),"")</f>
        <v/>
      </c>
      <c r="N19" s="16" t="n">
        <v>5</v>
      </c>
      <c r="O19" s="16">
        <f>IFERROR(INDEX($B$6:$B$37,MATCH("Green-"&amp;N19,$W$6:$W$37,0)),"")</f>
        <v/>
      </c>
      <c r="P19" s="17">
        <f>IFERROR(INDEX($C$6:$C$37,MATCH("Green-"&amp;N19,$W$6:$W$37,0)),"")</f>
        <v/>
      </c>
      <c r="R19" s="16" t="n">
        <v>5</v>
      </c>
      <c r="S19" s="16">
        <f>IFERROR(INDEX($B$6:$B$37,MATCH("Blue-"&amp;R19,$W$6:$W$37,0)),"")</f>
        <v/>
      </c>
      <c r="T19" s="17">
        <f>IFERROR(INDEX($C$6:$C$37,MATCH("Blue-"&amp;R19,$W$6:$W$37,0)),"")</f>
        <v/>
      </c>
      <c r="W19">
        <f>IF($E19="","",IF(UPPER(LEFT($E19,1))="R","Red",IF(UPPER(LEFT($E19,1))="G","Green",IF(UPPER(LEFT($E19,1))="B","Blue","")))&amp;"-"&amp;IFERROR(VALUE(SUBSTITUTE(MID($E19,2,10),"-","")),""))</f>
        <v/>
      </c>
    </row>
    <row r="20" ht="15" customHeight="1">
      <c r="A20" s="39" t="inlineStr"/>
      <c r="B20" s="47" t="n">
        <v>15</v>
      </c>
      <c r="C20" s="17" t="n"/>
      <c r="D20" s="17" t="n"/>
      <c r="E20" s="47" t="n"/>
      <c r="F20" s="16" t="n"/>
      <c r="G20" s="17" t="n"/>
      <c r="H20" s="18" t="n"/>
      <c r="J20" s="13" t="n">
        <v>6</v>
      </c>
      <c r="K20" s="13">
        <f>IFERROR(INDEX($B$6:$B$37,MATCH("Red-"&amp;J20,$W$6:$W$37,0)),"")</f>
        <v/>
      </c>
      <c r="L20" s="14">
        <f>IFERROR(INDEX($C$6:$C$37,MATCH("Red-"&amp;J20,$W$6:$W$37,0)),"")</f>
        <v/>
      </c>
      <c r="N20" s="13" t="n">
        <v>6</v>
      </c>
      <c r="O20" s="13">
        <f>IFERROR(INDEX($B$6:$B$37,MATCH("Green-"&amp;N20,$W$6:$W$37,0)),"")</f>
        <v/>
      </c>
      <c r="P20" s="14">
        <f>IFERROR(INDEX($C$6:$C$37,MATCH("Green-"&amp;N20,$W$6:$W$37,0)),"")</f>
        <v/>
      </c>
      <c r="R20" s="13" t="n">
        <v>6</v>
      </c>
      <c r="S20" s="13">
        <f>IFERROR(INDEX($B$6:$B$37,MATCH("Blue-"&amp;R20,$W$6:$W$37,0)),"")</f>
        <v/>
      </c>
      <c r="T20" s="14">
        <f>IFERROR(INDEX($C$6:$C$37,MATCH("Blue-"&amp;R20,$W$6:$W$37,0)),"")</f>
        <v/>
      </c>
      <c r="W20">
        <f>IF($E20="","",IF(UPPER(LEFT($E20,1))="R","Red",IF(UPPER(LEFT($E20,1))="G","Green",IF(UPPER(LEFT($E20,1))="B","Blue","")))&amp;"-"&amp;IFERROR(VALUE(SUBSTITUTE(MID($E20,2,10),"-","")),""))</f>
        <v/>
      </c>
    </row>
    <row r="21" ht="15" customHeight="1">
      <c r="A21" s="39" t="inlineStr"/>
      <c r="B21" s="46" t="n">
        <v>16</v>
      </c>
      <c r="C21" s="14" t="n"/>
      <c r="D21" s="14" t="n"/>
      <c r="E21" s="46" t="n"/>
      <c r="F21" s="13" t="n"/>
      <c r="G21" s="14" t="n"/>
      <c r="H21" s="15" t="n"/>
      <c r="J21" s="16" t="n">
        <v>7</v>
      </c>
      <c r="K21" s="16">
        <f>IFERROR(INDEX($B$6:$B$37,MATCH("Red-"&amp;J21,$W$6:$W$37,0)),"")</f>
        <v/>
      </c>
      <c r="L21" s="17">
        <f>IFERROR(INDEX($C$6:$C$37,MATCH("Red-"&amp;J21,$W$6:$W$37,0)),"")</f>
        <v/>
      </c>
      <c r="N21" s="16" t="n">
        <v>7</v>
      </c>
      <c r="O21" s="16">
        <f>IFERROR(INDEX($B$6:$B$37,MATCH("Green-"&amp;N21,$W$6:$W$37,0)),"")</f>
        <v/>
      </c>
      <c r="P21" s="17">
        <f>IFERROR(INDEX($C$6:$C$37,MATCH("Green-"&amp;N21,$W$6:$W$37,0)),"")</f>
        <v/>
      </c>
      <c r="R21" s="16" t="n">
        <v>7</v>
      </c>
      <c r="S21" s="16">
        <f>IFERROR(INDEX($B$6:$B$37,MATCH("Blue-"&amp;R21,$W$6:$W$37,0)),"")</f>
        <v/>
      </c>
      <c r="T21" s="17">
        <f>IFERROR(INDEX($C$6:$C$37,MATCH("Blue-"&amp;R21,$W$6:$W$37,0)),"")</f>
        <v/>
      </c>
      <c r="W21">
        <f>IF($E21="","",IF(UPPER(LEFT($E21,1))="R","Red",IF(UPPER(LEFT($E21,1))="G","Green",IF(UPPER(LEFT($E21,1))="B","Blue","")))&amp;"-"&amp;IFERROR(VALUE(SUBSTITUTE(MID($E21,2,10),"-","")),""))</f>
        <v/>
      </c>
    </row>
    <row r="22" ht="15" customHeight="1">
      <c r="A22" s="39" t="inlineStr"/>
      <c r="B22" s="47" t="n">
        <v>17</v>
      </c>
      <c r="C22" s="17" t="n"/>
      <c r="D22" s="17" t="n"/>
      <c r="E22" s="47" t="n"/>
      <c r="F22" s="16" t="n"/>
      <c r="G22" s="17" t="n"/>
      <c r="H22" s="18" t="n"/>
      <c r="J22" s="13" t="n">
        <v>8</v>
      </c>
      <c r="K22" s="13">
        <f>IFERROR(INDEX($B$6:$B$37,MATCH("Red-"&amp;J22,$W$6:$W$37,0)),"")</f>
        <v/>
      </c>
      <c r="L22" s="14">
        <f>IFERROR(INDEX($C$6:$C$37,MATCH("Red-"&amp;J22,$W$6:$W$37,0)),"")</f>
        <v/>
      </c>
      <c r="N22" s="13" t="n">
        <v>8</v>
      </c>
      <c r="O22" s="13">
        <f>IFERROR(INDEX($B$6:$B$37,MATCH("Green-"&amp;N22,$W$6:$W$37,0)),"")</f>
        <v/>
      </c>
      <c r="P22" s="14">
        <f>IFERROR(INDEX($C$6:$C$37,MATCH("Green-"&amp;N22,$W$6:$W$37,0)),"")</f>
        <v/>
      </c>
      <c r="R22" s="13" t="n">
        <v>8</v>
      </c>
      <c r="S22" s="13">
        <f>IFERROR(INDEX($B$6:$B$37,MATCH("Blue-"&amp;R22,$W$6:$W$37,0)),"")</f>
        <v/>
      </c>
      <c r="T22" s="14">
        <f>IFERROR(INDEX($C$6:$C$37,MATCH("Blue-"&amp;R22,$W$6:$W$37,0)),"")</f>
        <v/>
      </c>
      <c r="W22">
        <f>IF($E22="","",IF(UPPER(LEFT($E22,1))="R","Red",IF(UPPER(LEFT($E22,1))="G","Green",IF(UPPER(LEFT($E22,1))="B","Blue","")))&amp;"-"&amp;IFERROR(VALUE(SUBSTITUTE(MID($E22,2,10),"-","")),""))</f>
        <v/>
      </c>
    </row>
    <row r="23" ht="15" customHeight="1">
      <c r="A23" s="39" t="inlineStr"/>
      <c r="B23" s="46" t="n">
        <v>18</v>
      </c>
      <c r="C23" s="14" t="n"/>
      <c r="D23" s="14" t="n"/>
      <c r="E23" s="46" t="n"/>
      <c r="F23" s="13" t="n"/>
      <c r="G23" s="14" t="n"/>
      <c r="H23" s="15" t="n"/>
      <c r="J23" s="16" t="n">
        <v>9</v>
      </c>
      <c r="K23" s="16">
        <f>IFERROR(INDEX($B$6:$B$37,MATCH("Red-"&amp;J23,$W$6:$W$37,0)),"")</f>
        <v/>
      </c>
      <c r="L23" s="17">
        <f>IFERROR(INDEX($C$6:$C$37,MATCH("Red-"&amp;J23,$W$6:$W$37,0)),"")</f>
        <v/>
      </c>
      <c r="N23" s="16" t="n">
        <v>9</v>
      </c>
      <c r="O23" s="16">
        <f>IFERROR(INDEX($B$6:$B$37,MATCH("Green-"&amp;N23,$W$6:$W$37,0)),"")</f>
        <v/>
      </c>
      <c r="P23" s="17">
        <f>IFERROR(INDEX($C$6:$C$37,MATCH("Green-"&amp;N23,$W$6:$W$37,0)),"")</f>
        <v/>
      </c>
      <c r="R23" s="16" t="n">
        <v>9</v>
      </c>
      <c r="S23" s="16">
        <f>IFERROR(INDEX($B$6:$B$37,MATCH("Blue-"&amp;R23,$W$6:$W$37,0)),"")</f>
        <v/>
      </c>
      <c r="T23" s="17">
        <f>IFERROR(INDEX($C$6:$C$37,MATCH("Blue-"&amp;R23,$W$6:$W$37,0)),"")</f>
        <v/>
      </c>
      <c r="W23">
        <f>IF($E23="","",IF(UPPER(LEFT($E23,1))="R","Red",IF(UPPER(LEFT($E23,1))="G","Green",IF(UPPER(LEFT($E23,1))="B","Blue","")))&amp;"-"&amp;IFERROR(VALUE(SUBSTITUTE(MID($E23,2,10),"-","")),""))</f>
        <v/>
      </c>
    </row>
    <row r="24" ht="15" customHeight="1">
      <c r="A24" s="39" t="inlineStr"/>
      <c r="B24" s="47" t="n">
        <v>19</v>
      </c>
      <c r="C24" s="17" t="n"/>
      <c r="D24" s="17" t="n"/>
      <c r="E24" s="47" t="n"/>
      <c r="F24" s="16" t="n"/>
      <c r="G24" s="17" t="n"/>
      <c r="H24" s="18" t="n"/>
      <c r="J24" s="13" t="n">
        <v>10</v>
      </c>
      <c r="K24" s="13">
        <f>IFERROR(INDEX($B$6:$B$37,MATCH("Red-"&amp;J24,$W$6:$W$37,0)),"")</f>
        <v/>
      </c>
      <c r="L24" s="14">
        <f>IFERROR(INDEX($C$6:$C$37,MATCH("Red-"&amp;J24,$W$6:$W$37,0)),"")</f>
        <v/>
      </c>
      <c r="N24" s="13" t="n">
        <v>10</v>
      </c>
      <c r="O24" s="13">
        <f>IFERROR(INDEX($B$6:$B$37,MATCH("Green-"&amp;N24,$W$6:$W$37,0)),"")</f>
        <v/>
      </c>
      <c r="P24" s="14">
        <f>IFERROR(INDEX($C$6:$C$37,MATCH("Green-"&amp;N24,$W$6:$W$37,0)),"")</f>
        <v/>
      </c>
      <c r="R24" s="13" t="n">
        <v>10</v>
      </c>
      <c r="S24" s="13">
        <f>IFERROR(INDEX($B$6:$B$37,MATCH("Blue-"&amp;R24,$W$6:$W$37,0)),"")</f>
        <v/>
      </c>
      <c r="T24" s="14">
        <f>IFERROR(INDEX($C$6:$C$37,MATCH("Blue-"&amp;R24,$W$6:$W$37,0)),"")</f>
        <v/>
      </c>
      <c r="W24">
        <f>IF($E24="","",IF(UPPER(LEFT($E24,1))="R","Red",IF(UPPER(LEFT($E24,1))="G","Green",IF(UPPER(LEFT($E24,1))="B","Blue","")))&amp;"-"&amp;IFERROR(VALUE(SUBSTITUTE(MID($E24,2,10),"-","")),""))</f>
        <v/>
      </c>
    </row>
    <row r="25" ht="15" customHeight="1">
      <c r="A25" s="39" t="inlineStr"/>
      <c r="B25" s="46" t="n">
        <v>20</v>
      </c>
      <c r="C25" s="14" t="n"/>
      <c r="D25" s="14" t="n"/>
      <c r="E25" s="46" t="n"/>
      <c r="F25" s="13" t="n"/>
      <c r="G25" s="14" t="n"/>
      <c r="H25" s="15" t="n"/>
      <c r="J25" s="16" t="n">
        <v>11</v>
      </c>
      <c r="K25" s="16">
        <f>IFERROR(INDEX($B$6:$B$37,MATCH("Red-"&amp;J25,$W$6:$W$37,0)),"")</f>
        <v/>
      </c>
      <c r="L25" s="17">
        <f>IFERROR(INDEX($C$6:$C$37,MATCH("Red-"&amp;J25,$W$6:$W$37,0)),"")</f>
        <v/>
      </c>
      <c r="N25" s="16" t="n">
        <v>11</v>
      </c>
      <c r="O25" s="16">
        <f>IFERROR(INDEX($B$6:$B$37,MATCH("Green-"&amp;N25,$W$6:$W$37,0)),"")</f>
        <v/>
      </c>
      <c r="P25" s="17">
        <f>IFERROR(INDEX($C$6:$C$37,MATCH("Green-"&amp;N25,$W$6:$W$37,0)),"")</f>
        <v/>
      </c>
      <c r="R25" s="16" t="n">
        <v>11</v>
      </c>
      <c r="S25" s="16">
        <f>IFERROR(INDEX($B$6:$B$37,MATCH("Blue-"&amp;R25,$W$6:$W$37,0)),"")</f>
        <v/>
      </c>
      <c r="T25" s="17">
        <f>IFERROR(INDEX($C$6:$C$37,MATCH("Blue-"&amp;R25,$W$6:$W$37,0)),"")</f>
        <v/>
      </c>
      <c r="W25">
        <f>IF($E25="","",IF(UPPER(LEFT($E25,1))="R","Red",IF(UPPER(LEFT($E25,1))="G","Green",IF(UPPER(LEFT($E25,1))="B","Blue","")))&amp;"-"&amp;IFERROR(VALUE(SUBSTITUTE(MID($E25,2,10),"-","")),""))</f>
        <v/>
      </c>
    </row>
    <row r="26" ht="15" customHeight="1">
      <c r="A26" s="39" t="inlineStr"/>
      <c r="B26" s="47" t="n">
        <v>21</v>
      </c>
      <c r="C26" s="17" t="n"/>
      <c r="D26" s="17" t="n"/>
      <c r="E26" s="47" t="n"/>
      <c r="F26" s="16" t="n"/>
      <c r="G26" s="17" t="n"/>
      <c r="H26" s="18" t="n"/>
      <c r="J26" s="13" t="n">
        <v>12</v>
      </c>
      <c r="K26" s="13">
        <f>IFERROR(INDEX($B$6:$B$37,MATCH("Red-"&amp;J26,$W$6:$W$37,0)),"")</f>
        <v/>
      </c>
      <c r="L26" s="14">
        <f>IFERROR(INDEX($C$6:$C$37,MATCH("Red-"&amp;J26,$W$6:$W$37,0)),"")</f>
        <v/>
      </c>
      <c r="N26" s="13" t="n">
        <v>12</v>
      </c>
      <c r="O26" s="13">
        <f>IFERROR(INDEX($B$6:$B$37,MATCH("Green-"&amp;N26,$W$6:$W$37,0)),"")</f>
        <v/>
      </c>
      <c r="P26" s="14">
        <f>IFERROR(INDEX($C$6:$C$37,MATCH("Green-"&amp;N26,$W$6:$W$37,0)),"")</f>
        <v/>
      </c>
      <c r="R26" s="13" t="n">
        <v>12</v>
      </c>
      <c r="S26" s="13">
        <f>IFERROR(INDEX($B$6:$B$37,MATCH("Blue-"&amp;R26,$W$6:$W$37,0)),"")</f>
        <v/>
      </c>
      <c r="T26" s="14">
        <f>IFERROR(INDEX($C$6:$C$37,MATCH("Blue-"&amp;R26,$W$6:$W$37,0)),"")</f>
        <v/>
      </c>
      <c r="W26">
        <f>IF($E26="","",IF(UPPER(LEFT($E26,1))="R","Red",IF(UPPER(LEFT($E26,1))="G","Green",IF(UPPER(LEFT($E26,1))="B","Blue","")))&amp;"-"&amp;IFERROR(VALUE(SUBSTITUTE(MID($E26,2,10),"-","")),""))</f>
        <v/>
      </c>
    </row>
    <row r="27" ht="15" customHeight="1">
      <c r="A27" s="39" t="inlineStr"/>
      <c r="B27" s="46" t="n">
        <v>22</v>
      </c>
      <c r="C27" s="14" t="n"/>
      <c r="D27" s="14" t="n"/>
      <c r="E27" s="46" t="n"/>
      <c r="F27" s="13" t="n"/>
      <c r="G27" s="14" t="n"/>
      <c r="H27" s="15" t="n"/>
      <c r="J27" s="16" t="n">
        <v>13</v>
      </c>
      <c r="K27" s="16">
        <f>IFERROR(INDEX($B$6:$B$37,MATCH("Red-"&amp;J27,$W$6:$W$37,0)),"")</f>
        <v/>
      </c>
      <c r="L27" s="17">
        <f>IFERROR(INDEX($C$6:$C$37,MATCH("Red-"&amp;J27,$W$6:$W$37,0)),"")</f>
        <v/>
      </c>
      <c r="W27">
        <f>IF($E27="","",IF(UPPER(LEFT($E27,1))="R","Red",IF(UPPER(LEFT($E27,1))="G","Green",IF(UPPER(LEFT($E27,1))="B","Blue","")))&amp;"-"&amp;IFERROR(VALUE(SUBSTITUTE(MID($E27,2,10),"-","")),""))</f>
        <v/>
      </c>
    </row>
    <row r="28" ht="15" customHeight="1">
      <c r="A28" s="39" t="inlineStr"/>
      <c r="B28" s="47" t="n">
        <v>23</v>
      </c>
      <c r="C28" s="17" t="n"/>
      <c r="D28" s="17" t="n"/>
      <c r="E28" s="47" t="n"/>
      <c r="F28" s="16" t="n"/>
      <c r="G28" s="17" t="n"/>
      <c r="H28" s="18" t="n"/>
      <c r="J28" s="13" t="n">
        <v>14</v>
      </c>
      <c r="K28" s="13">
        <f>IFERROR(INDEX($B$6:$B$37,MATCH("Red-"&amp;J28,$W$6:$W$37,0)),"")</f>
        <v/>
      </c>
      <c r="L28" s="14">
        <f>IFERROR(INDEX($C$6:$C$37,MATCH("Red-"&amp;J28,$W$6:$W$37,0)),"")</f>
        <v/>
      </c>
      <c r="W28">
        <f>IF($E28="","",IF(UPPER(LEFT($E28,1))="R","Red",IF(UPPER(LEFT($E28,1))="G","Green",IF(UPPER(LEFT($E28,1))="B","Blue","")))&amp;"-"&amp;IFERROR(VALUE(SUBSTITUTE(MID($E28,2,10),"-","")),""))</f>
        <v/>
      </c>
    </row>
    <row r="29" ht="15" customHeight="1">
      <c r="A29" s="39" t="inlineStr"/>
      <c r="B29" s="46" t="n">
        <v>24</v>
      </c>
      <c r="C29" s="14" t="n"/>
      <c r="D29" s="14" t="n"/>
      <c r="E29" s="46" t="n"/>
      <c r="F29" s="13" t="n"/>
      <c r="G29" s="14" t="n"/>
      <c r="H29" s="15" t="n"/>
      <c r="J29" s="16" t="n">
        <v>15</v>
      </c>
      <c r="K29" s="16">
        <f>IFERROR(INDEX($B$6:$B$37,MATCH("Red-"&amp;J29,$W$6:$W$37,0)),"")</f>
        <v/>
      </c>
      <c r="L29" s="17">
        <f>IFERROR(INDEX($C$6:$C$37,MATCH("Red-"&amp;J29,$W$6:$W$37,0)),"")</f>
        <v/>
      </c>
      <c r="W29">
        <f>IF($E29="","",IF(UPPER(LEFT($E29,1))="R","Red",IF(UPPER(LEFT($E29,1))="G","Green",IF(UPPER(LEFT($E29,1))="B","Blue","")))&amp;"-"&amp;IFERROR(VALUE(SUBSTITUTE(MID($E29,2,10),"-","")),""))</f>
        <v/>
      </c>
    </row>
    <row r="30" ht="15" customHeight="1">
      <c r="A30" s="39" t="inlineStr"/>
      <c r="B30" s="47" t="n">
        <v>25</v>
      </c>
      <c r="C30" s="17" t="n"/>
      <c r="D30" s="17" t="n"/>
      <c r="E30" s="47" t="n"/>
      <c r="F30" s="16" t="n"/>
      <c r="G30" s="17" t="n"/>
      <c r="H30" s="18" t="n"/>
      <c r="J30" s="13" t="n">
        <v>16</v>
      </c>
      <c r="K30" s="13">
        <f>IFERROR(INDEX($B$6:$B$37,MATCH("Red-"&amp;J30,$W$6:$W$37,0)),"")</f>
        <v/>
      </c>
      <c r="L30" s="14">
        <f>IFERROR(INDEX($C$6:$C$37,MATCH("Red-"&amp;J30,$W$6:$W$37,0)),"")</f>
        <v/>
      </c>
      <c r="W30">
        <f>IF($E30="","",IF(UPPER(LEFT($E30,1))="R","Red",IF(UPPER(LEFT($E30,1))="G","Green",IF(UPPER(LEFT($E30,1))="B","Blue","")))&amp;"-"&amp;IFERROR(VALUE(SUBSTITUTE(MID($E30,2,10),"-","")),""))</f>
        <v/>
      </c>
    </row>
    <row r="31" ht="15" customHeight="1">
      <c r="A31" s="39" t="inlineStr"/>
      <c r="B31" s="46" t="n">
        <v>26</v>
      </c>
      <c r="C31" s="14" t="n"/>
      <c r="D31" s="14" t="n"/>
      <c r="E31" s="46" t="n"/>
      <c r="F31" s="13" t="n"/>
      <c r="G31" s="14" t="n"/>
      <c r="H31" s="15" t="n"/>
      <c r="W31">
        <f>IF($E31="","",IF(UPPER(LEFT($E31,1))="R","Red",IF(UPPER(LEFT($E31,1))="G","Green",IF(UPPER(LEFT($E31,1))="B","Blue","")))&amp;"-"&amp;IFERROR(VALUE(SUBSTITUTE(MID($E31,2,10),"-","")),""))</f>
        <v/>
      </c>
    </row>
    <row r="32" ht="15" customHeight="1">
      <c r="A32" s="39" t="inlineStr"/>
      <c r="B32" s="47" t="n">
        <v>27</v>
      </c>
      <c r="C32" s="17" t="n"/>
      <c r="D32" s="17" t="n"/>
      <c r="E32" s="47" t="n"/>
      <c r="F32" s="16" t="n"/>
      <c r="G32" s="17" t="n"/>
      <c r="H32" s="18" t="n"/>
      <c r="J32" s="22" t="inlineStr">
        <is>
          <t>Live: type the zone letter + number into Split Patch on the channel grid (e.g. R-03) and the matching location here fills in automatically.</t>
        </is>
      </c>
      <c r="W32">
        <f>IF($E32="","",IF(UPPER(LEFT($E32,1))="R","Red",IF(UPPER(LEFT($E32,1))="G","Green",IF(UPPER(LEFT($E32,1))="B","Blue","")))&amp;"-"&amp;IFERROR(VALUE(SUBSTITUTE(MID($E32,2,10),"-","")),""))</f>
        <v/>
      </c>
    </row>
    <row r="33" ht="15" customHeight="1">
      <c r="A33" s="39" t="inlineStr"/>
      <c r="B33" s="46" t="n">
        <v>28</v>
      </c>
      <c r="C33" s="14" t="n"/>
      <c r="D33" s="14" t="n"/>
      <c r="E33" s="46" t="n"/>
      <c r="F33" s="13" t="n"/>
      <c r="G33" s="14" t="n"/>
      <c r="H33" s="15" t="n"/>
      <c r="W33">
        <f>IF($E33="","",IF(UPPER(LEFT($E33,1))="R","Red",IF(UPPER(LEFT($E33,1))="G","Green",IF(UPPER(LEFT($E33,1))="B","Blue","")))&amp;"-"&amp;IFERROR(VALUE(SUBSTITUTE(MID($E33,2,10),"-","")),""))</f>
        <v/>
      </c>
    </row>
    <row r="34" ht="15" customHeight="1">
      <c r="A34" s="39" t="inlineStr"/>
      <c r="B34" s="47" t="n">
        <v>29</v>
      </c>
      <c r="C34" s="17" t="n"/>
      <c r="D34" s="17" t="n"/>
      <c r="E34" s="47" t="n"/>
      <c r="F34" s="16" t="n"/>
      <c r="G34" s="17" t="n"/>
      <c r="H34" s="18" t="n"/>
      <c r="W34">
        <f>IF($E34="","",IF(UPPER(LEFT($E34,1))="R","Red",IF(UPPER(LEFT($E34,1))="G","Green",IF(UPPER(LEFT($E34,1))="B","Blue","")))&amp;"-"&amp;IFERROR(VALUE(SUBSTITUTE(MID($E34,2,10),"-","")),""))</f>
        <v/>
      </c>
    </row>
    <row r="35" ht="15" customHeight="1">
      <c r="A35" s="39" t="inlineStr"/>
      <c r="B35" s="46" t="n">
        <v>30</v>
      </c>
      <c r="C35" s="14" t="n"/>
      <c r="D35" s="14" t="n"/>
      <c r="E35" s="46" t="n"/>
      <c r="F35" s="13" t="n"/>
      <c r="G35" s="14" t="n"/>
      <c r="H35" s="15" t="n"/>
      <c r="W35">
        <f>IF($E35="","",IF(UPPER(LEFT($E35,1))="R","Red",IF(UPPER(LEFT($E35,1))="G","Green",IF(UPPER(LEFT($E35,1))="B","Blue","")))&amp;"-"&amp;IFERROR(VALUE(SUBSTITUTE(MID($E35,2,10),"-","")),""))</f>
        <v/>
      </c>
    </row>
    <row r="36" ht="15" customHeight="1">
      <c r="A36" s="39" t="inlineStr"/>
      <c r="B36" s="47" t="n">
        <v>31</v>
      </c>
      <c r="C36" s="17" t="n"/>
      <c r="D36" s="17" t="n"/>
      <c r="E36" s="47" t="n"/>
      <c r="F36" s="16" t="n"/>
      <c r="G36" s="17" t="n"/>
      <c r="H36" s="18" t="n"/>
      <c r="W36">
        <f>IF($E36="","",IF(UPPER(LEFT($E36,1))="R","Red",IF(UPPER(LEFT($E36,1))="G","Green",IF(UPPER(LEFT($E36,1))="B","Blue","")))&amp;"-"&amp;IFERROR(VALUE(SUBSTITUTE(MID($E36,2,10),"-","")),""))</f>
        <v/>
      </c>
    </row>
    <row r="37" ht="15" customHeight="1">
      <c r="A37" s="39" t="inlineStr"/>
      <c r="B37" s="46" t="n">
        <v>32</v>
      </c>
      <c r="C37" s="14" t="n"/>
      <c r="D37" s="14" t="n"/>
      <c r="E37" s="46" t="n"/>
      <c r="F37" s="13" t="n"/>
      <c r="G37" s="14" t="n"/>
      <c r="H37" s="15" t="n"/>
      <c r="W37">
        <f>IF($E37="","",IF(UPPER(LEFT($E37,1))="R","Red",IF(UPPER(LEFT($E37,1))="G","Green",IF(UPPER(LEFT($E37,1))="B","Blue","")))&amp;"-"&amp;IFERROR(VALUE(SUBSTITUTE(MID($E37,2,10),"-","")),""))</f>
        <v/>
      </c>
    </row>
  </sheetData>
  <mergeCells count="5">
    <mergeCell ref="A3:K3"/>
    <mergeCell ref="J5:K5"/>
    <mergeCell ref="J32:T33"/>
    <mergeCell ref="A1:K1"/>
    <mergeCell ref="J13:T13"/>
  </mergeCells>
  <conditionalFormatting sqref="A6:A37">
    <cfRule type="expression" priority="1" dxfId="0">
      <formula>LEFT($E6,1)="R"</formula>
    </cfRule>
    <cfRule type="expression" priority="2" dxfId="1">
      <formula>LEFT($E6,1)="G"</formula>
    </cfRule>
    <cfRule type="expression" priority="3" dxfId="2">
      <formula>LEFT($E6,1)="B"</formula>
    </cfRule>
  </conditionalFormatting>
  <dataValidations count="2">
    <dataValidation sqref="G6:G37" showDropDown="0" showInputMessage="0" showErrorMessage="0" allowBlank="1" type="list">
      <formula1>"Short,Tall,Boom,Bar,Clip,DI,—"</formula1>
    </dataValidation>
    <dataValidation sqref="F6:F37" showDropDown="0" showInputMessage="0" showErrorMessage="0" allowBlank="1" type="list">
      <formula1>"✓"</formula1>
    </dataValidation>
  </dataValidations>
  <pageMargins left="0.4" right="0.4" top="0.5" bottom="0.5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workbookViewId="0">
      <selection activeCell="A1" sqref="A1"/>
    </sheetView>
  </sheetViews>
  <sheetFormatPr baseColWidth="8" defaultRowHeight="15"/>
  <cols>
    <col width="19.25" customWidth="1" min="1" max="1"/>
    <col width="17.13" customWidth="1" min="2" max="2"/>
    <col width="21.88" customWidth="1" min="3" max="3"/>
    <col width="77.25" customWidth="1" min="4" max="4"/>
    <col width="23" customWidth="1" min="5" max="5"/>
    <col width="14.63" customWidth="1" min="6" max="6"/>
    <col width="95.38" customWidth="1" min="7" max="7"/>
  </cols>
  <sheetData>
    <row r="1">
      <c r="A1" s="40" t="inlineStr">
        <is>
          <t>Model</t>
        </is>
      </c>
      <c r="B1" s="40" t="inlineStr">
        <is>
          <t>Category</t>
        </is>
      </c>
      <c r="C1" s="40" t="inlineStr">
        <is>
          <t>Pattern</t>
        </is>
      </c>
      <c r="D1" s="40" t="inlineStr">
        <is>
          <t>Primary Applications</t>
        </is>
      </c>
      <c r="E1" s="40" t="inlineStr">
        <is>
          <t>48V Phantom</t>
        </is>
      </c>
      <c r="F1" s="40" t="inlineStr">
        <is>
          <t>Kit / Source</t>
        </is>
      </c>
      <c r="G1" s="40" t="inlineStr">
        <is>
          <t>Notes</t>
        </is>
      </c>
    </row>
    <row r="2">
      <c r="A2" s="41" t="inlineStr">
        <is>
          <t>Shure SM57</t>
        </is>
      </c>
      <c r="B2" s="42" t="inlineStr">
        <is>
          <t>Dynamic</t>
        </is>
      </c>
      <c r="C2" s="42" t="inlineStr">
        <is>
          <t>Cardioid</t>
        </is>
      </c>
      <c r="D2" s="42" t="inlineStr">
        <is>
          <t>Snare, guitar cab, brass, perc, utility</t>
        </is>
      </c>
      <c r="E2" s="42" t="inlineStr">
        <is>
          <t>No phantom</t>
        </is>
      </c>
      <c r="F2" s="42" t="inlineStr">
        <is>
          <t>Standalone</t>
        </is>
      </c>
      <c r="G2" s="43" t="n"/>
    </row>
    <row r="3">
      <c r="A3" s="41" t="inlineStr">
        <is>
          <t>Shure SM58</t>
        </is>
      </c>
      <c r="B3" s="42" t="inlineStr">
        <is>
          <t>Dynamic</t>
        </is>
      </c>
      <c r="C3" s="42" t="inlineStr">
        <is>
          <t>Cardioid</t>
        </is>
      </c>
      <c r="D3" s="42" t="inlineStr">
        <is>
          <t>Handheld vocals</t>
        </is>
      </c>
      <c r="E3" s="42" t="inlineStr">
        <is>
          <t>No phantom</t>
        </is>
      </c>
      <c r="F3" s="42" t="inlineStr">
        <is>
          <t>Standalone</t>
        </is>
      </c>
      <c r="G3" s="43" t="n"/>
    </row>
    <row r="4">
      <c r="A4" s="41" t="inlineStr">
        <is>
          <t>Shure Beta 52</t>
        </is>
      </c>
      <c r="B4" s="42" t="inlineStr">
        <is>
          <t>Dynamic</t>
        </is>
      </c>
      <c r="C4" s="42" t="inlineStr">
        <is>
          <t>Supercardioid</t>
        </is>
      </c>
      <c r="D4" s="42" t="inlineStr">
        <is>
          <t>Kick drum — body/thump layer (inside)</t>
        </is>
      </c>
      <c r="E4" s="42" t="inlineStr">
        <is>
          <t>No phantom</t>
        </is>
      </c>
      <c r="F4" s="42" t="inlineStr">
        <is>
          <t>Standalone</t>
        </is>
      </c>
      <c r="G4" s="42" t="inlineStr">
        <is>
          <t>Pair with Beta 91 for 2-mic kick rig</t>
        </is>
      </c>
    </row>
    <row r="5">
      <c r="A5" s="41" t="inlineStr">
        <is>
          <t>Shure Beta 58</t>
        </is>
      </c>
      <c r="B5" s="42" t="inlineStr">
        <is>
          <t>Dynamic</t>
        </is>
      </c>
      <c r="C5" s="42" t="inlineStr">
        <is>
          <t>Supercardioid</t>
        </is>
      </c>
      <c r="D5" s="42" t="inlineStr">
        <is>
          <t>Handheld vocals — higher off-axis rejection than SM58</t>
        </is>
      </c>
      <c r="E5" s="42" t="inlineStr">
        <is>
          <t>No phantom</t>
        </is>
      </c>
      <c r="F5" s="42" t="inlineStr">
        <is>
          <t>Standalone</t>
        </is>
      </c>
      <c r="G5" s="43" t="n"/>
    </row>
    <row r="6">
      <c r="A6" s="41" t="inlineStr">
        <is>
          <t>Sennheiser MD421</t>
        </is>
      </c>
      <c r="B6" s="42" t="inlineStr">
        <is>
          <t>Dynamic</t>
        </is>
      </c>
      <c r="C6" s="42" t="inlineStr">
        <is>
          <t>Cardioid</t>
        </is>
      </c>
      <c r="D6" s="42" t="inlineStr">
        <is>
          <t>Toms, guitar cabs, brass, woodwinds</t>
        </is>
      </c>
      <c r="E6" s="42" t="inlineStr">
        <is>
          <t>No phantom</t>
        </is>
      </c>
      <c r="F6" s="42" t="inlineStr">
        <is>
          <t>Standalone</t>
        </is>
      </c>
      <c r="G6" s="42" t="inlineStr">
        <is>
          <t>5-position bass rolloff switch</t>
        </is>
      </c>
    </row>
    <row r="7">
      <c r="A7" s="41" t="inlineStr">
        <is>
          <t>Sennheiser e609</t>
        </is>
      </c>
      <c r="B7" s="42" t="inlineStr">
        <is>
          <t>Dynamic</t>
        </is>
      </c>
      <c r="C7" s="42" t="inlineStr">
        <is>
          <t>Supercardioid</t>
        </is>
      </c>
      <c r="D7" s="42" t="inlineStr">
        <is>
          <t>Guitar cab — side-address, hang over cab face</t>
        </is>
      </c>
      <c r="E7" s="42" t="inlineStr">
        <is>
          <t>No phantom</t>
        </is>
      </c>
      <c r="F7" s="42" t="inlineStr">
        <is>
          <t>Standalone</t>
        </is>
      </c>
      <c r="G7" s="43" t="n"/>
    </row>
    <row r="8">
      <c r="A8" s="41" t="inlineStr">
        <is>
          <t>Sennheiser e604</t>
        </is>
      </c>
      <c r="B8" s="42" t="inlineStr">
        <is>
          <t>Dynamic</t>
        </is>
      </c>
      <c r="C8" s="42" t="inlineStr">
        <is>
          <t>Cardioid</t>
        </is>
      </c>
      <c r="D8" s="42" t="inlineStr">
        <is>
          <t>Toms, snare — clip-on mount</t>
        </is>
      </c>
      <c r="E8" s="42" t="inlineStr">
        <is>
          <t>No phantom</t>
        </is>
      </c>
      <c r="F8" s="42" t="inlineStr">
        <is>
          <t>Standalone</t>
        </is>
      </c>
      <c r="G8" s="43" t="n"/>
    </row>
    <row r="9">
      <c r="A9" s="41" t="inlineStr">
        <is>
          <t>Audix D6</t>
        </is>
      </c>
      <c r="B9" s="42" t="inlineStr">
        <is>
          <t>Dynamic</t>
        </is>
      </c>
      <c r="C9" s="42" t="inlineStr">
        <is>
          <t>Cardioid</t>
        </is>
      </c>
      <c r="D9" s="42" t="inlineStr">
        <is>
          <t>Kick drum — attack/click layer (inside)</t>
        </is>
      </c>
      <c r="E9" s="42" t="inlineStr">
        <is>
          <t>No phantom</t>
        </is>
      </c>
      <c r="F9" s="42" t="inlineStr">
        <is>
          <t>Standalone + DP8</t>
        </is>
      </c>
      <c r="G9" s="43" t="n"/>
    </row>
    <row r="10">
      <c r="A10" s="41" t="inlineStr">
        <is>
          <t>Audix i5</t>
        </is>
      </c>
      <c r="B10" s="42" t="inlineStr">
        <is>
          <t>Dynamic</t>
        </is>
      </c>
      <c r="C10" s="42" t="inlineStr">
        <is>
          <t>Cardioid</t>
        </is>
      </c>
      <c r="D10" s="42" t="inlineStr">
        <is>
          <t>Snare — tight, punchy</t>
        </is>
      </c>
      <c r="E10" s="42" t="inlineStr">
        <is>
          <t>No phantom</t>
        </is>
      </c>
      <c r="F10" s="42" t="inlineStr">
        <is>
          <t>Audix DP8</t>
        </is>
      </c>
      <c r="G10" s="43" t="n"/>
    </row>
    <row r="11">
      <c r="A11" s="41" t="inlineStr">
        <is>
          <t>Audix D2</t>
        </is>
      </c>
      <c r="B11" s="42" t="inlineStr">
        <is>
          <t>Dynamic</t>
        </is>
      </c>
      <c r="C11" s="42" t="inlineStr">
        <is>
          <t>Cardioid</t>
        </is>
      </c>
      <c r="D11" s="42" t="inlineStr">
        <is>
          <t>Small/mid toms</t>
        </is>
      </c>
      <c r="E11" s="42" t="inlineStr">
        <is>
          <t>No phantom</t>
        </is>
      </c>
      <c r="F11" s="42" t="inlineStr">
        <is>
          <t>Audix DP8</t>
        </is>
      </c>
      <c r="G11" s="42" t="inlineStr">
        <is>
          <t>×2 in DP8</t>
        </is>
      </c>
    </row>
    <row r="12">
      <c r="A12" s="41" t="inlineStr">
        <is>
          <t>Audix D4</t>
        </is>
      </c>
      <c r="B12" s="42" t="inlineStr">
        <is>
          <t>Dynamic</t>
        </is>
      </c>
      <c r="C12" s="42" t="inlineStr">
        <is>
          <t>Cardioid</t>
        </is>
      </c>
      <c r="D12" s="42" t="inlineStr">
        <is>
          <t>Floor tom — more low-end extension than D2</t>
        </is>
      </c>
      <c r="E12" s="42" t="inlineStr">
        <is>
          <t>No phantom</t>
        </is>
      </c>
      <c r="F12" s="42" t="inlineStr">
        <is>
          <t>Audix DP8</t>
        </is>
      </c>
      <c r="G12" s="43" t="n"/>
    </row>
    <row r="13">
      <c r="A13" s="41" t="inlineStr">
        <is>
          <t>Audio-Technica AE2500</t>
        </is>
      </c>
      <c r="B13" s="42" t="inlineStr">
        <is>
          <t>Dynamic / Condenser</t>
        </is>
      </c>
      <c r="C13" s="42" t="inlineStr">
        <is>
          <t>Cardioid</t>
        </is>
      </c>
      <c r="D13" s="42" t="inlineStr">
        <is>
          <t>Kick drum — dual-element (dynamic + condenser) in one body; complete kick picture on two channels</t>
        </is>
      </c>
      <c r="E13" s="42" t="inlineStr">
        <is>
          <t>48V req. (cond. element only)</t>
        </is>
      </c>
      <c r="F13" s="42" t="inlineStr">
        <is>
          <t>Standalone</t>
        </is>
      </c>
      <c r="G13" s="42" t="inlineStr">
        <is>
          <t>Two XLR outputs — dynamic for body/thump, condenser for attack/transient; blend on console or sum post-fader</t>
        </is>
      </c>
    </row>
    <row r="14">
      <c r="A14" s="41" t="inlineStr">
        <is>
          <t>sE V-Kick</t>
        </is>
      </c>
      <c r="B14" s="42" t="inlineStr">
        <is>
          <t>Dynamic</t>
        </is>
      </c>
      <c r="C14" s="42" t="inlineStr">
        <is>
          <t>Dynamic</t>
        </is>
      </c>
      <c r="D14" s="42" t="inlineStr">
        <is>
          <t>Kick drum — compact alternative</t>
        </is>
      </c>
      <c r="E14" s="42" t="inlineStr">
        <is>
          <t>No phantom</t>
        </is>
      </c>
      <c r="F14" s="42" t="inlineStr">
        <is>
          <t>sE V Pack Arena</t>
        </is>
      </c>
      <c r="G14" s="43" t="n"/>
    </row>
    <row r="15">
      <c r="A15" s="41" t="inlineStr">
        <is>
          <t>sE V-Beat</t>
        </is>
      </c>
      <c r="B15" s="42" t="inlineStr">
        <is>
          <t>Dynamic</t>
        </is>
      </c>
      <c r="C15" s="42" t="inlineStr">
        <is>
          <t>Dynamic</t>
        </is>
      </c>
      <c r="D15" s="42" t="inlineStr">
        <is>
          <t>Toms — V-Clamp rim mount</t>
        </is>
      </c>
      <c r="E15" s="42" t="inlineStr">
        <is>
          <t>No phantom</t>
        </is>
      </c>
      <c r="F15" s="42" t="inlineStr">
        <is>
          <t>sE V Pack Arena</t>
        </is>
      </c>
      <c r="G15" s="42" t="inlineStr">
        <is>
          <t>×3 in kit</t>
        </is>
      </c>
    </row>
    <row r="16">
      <c r="A16" s="41" t="inlineStr">
        <is>
          <t>sE V7 X</t>
        </is>
      </c>
      <c r="B16" s="42" t="inlineStr">
        <is>
          <t>Dynamic</t>
        </is>
      </c>
      <c r="C16" s="42" t="inlineStr">
        <is>
          <t>Supercardioid</t>
        </is>
      </c>
      <c r="D16" s="42" t="inlineStr">
        <is>
          <t>Snare — dynamic instrument mic</t>
        </is>
      </c>
      <c r="E16" s="42" t="inlineStr">
        <is>
          <t>No phantom</t>
        </is>
      </c>
      <c r="F16" s="42" t="inlineStr">
        <is>
          <t>sE V Pack Arena</t>
        </is>
      </c>
      <c r="G16" s="43" t="n"/>
    </row>
    <row r="17">
      <c r="A17" s="41" t="inlineStr">
        <is>
          <t>Lauten Snare Mic</t>
        </is>
      </c>
      <c r="B17" s="42" t="inlineStr">
        <is>
          <t>SDC</t>
        </is>
      </c>
      <c r="C17" s="42" t="inlineStr">
        <is>
          <t>Cardioid</t>
        </is>
      </c>
      <c r="D17" s="42" t="inlineStr">
        <is>
          <t>Snare drum — purpose-built FET condenser; studio, live, and touring</t>
        </is>
      </c>
      <c r="E17" s="42" t="inlineStr">
        <is>
          <t>Requires 48V</t>
        </is>
      </c>
      <c r="F17" s="42" t="inlineStr">
        <is>
          <t>Standalone</t>
        </is>
      </c>
      <c r="G17" s="42" t="inlineStr">
        <is>
          <t>LS-408; 28dB off-axis rejection; onboard HP (flat/80Hz/140Hz) &amp; LP (flat/12kHz/5kHz) filters; articulating swivel mount included</t>
        </is>
      </c>
    </row>
    <row r="18">
      <c r="A18" s="41" t="inlineStr">
        <is>
          <t>Schoeps CMC6 + MK4</t>
        </is>
      </c>
      <c r="B18" s="42" t="inlineStr">
        <is>
          <t>SDC</t>
        </is>
      </c>
      <c r="C18" s="42" t="inlineStr">
        <is>
          <t>Cardioid</t>
        </is>
      </c>
      <c r="D18" s="42" t="inlineStr">
        <is>
          <t>Classical overheads, acoustic soloists, spot mics</t>
        </is>
      </c>
      <c r="E18" s="42" t="inlineStr">
        <is>
          <t>Requires 48V</t>
        </is>
      </c>
      <c r="F18" s="42" t="inlineStr">
        <is>
          <t>Standalone</t>
        </is>
      </c>
      <c r="G18" s="42" t="inlineStr">
        <is>
          <t>Interchangeable cap body</t>
        </is>
      </c>
    </row>
    <row r="19">
      <c r="A19" s="41" t="inlineStr">
        <is>
          <t>Schoeps CMC6 + MK5</t>
        </is>
      </c>
      <c r="B19" s="42" t="inlineStr">
        <is>
          <t>SDC</t>
        </is>
      </c>
      <c r="C19" s="42" t="inlineStr">
        <is>
          <t>Omni / Cardioid</t>
        </is>
      </c>
      <c r="D19" s="42" t="inlineStr">
        <is>
          <t>Classical room, Decca tree, wide ambient</t>
        </is>
      </c>
      <c r="E19" s="42" t="inlineStr">
        <is>
          <t>Requires 48V</t>
        </is>
      </c>
      <c r="F19" s="42" t="inlineStr">
        <is>
          <t>Standalone</t>
        </is>
      </c>
      <c r="G19" s="42" t="inlineStr">
        <is>
          <t>Switchable omni or cardioid</t>
        </is>
      </c>
    </row>
    <row r="20">
      <c r="A20" s="41" t="inlineStr">
        <is>
          <t>Sennheiser MKH 40</t>
        </is>
      </c>
      <c r="B20" s="42" t="inlineStr">
        <is>
          <t>SDC</t>
        </is>
      </c>
      <c r="C20" s="42" t="inlineStr">
        <is>
          <t>Cardioid</t>
        </is>
      </c>
      <c r="D20" s="42" t="inlineStr">
        <is>
          <t>Classical main pair — ORTF, NOS, spaced omni</t>
        </is>
      </c>
      <c r="E20" s="42" t="inlineStr">
        <is>
          <t>Requires 48V</t>
        </is>
      </c>
      <c r="F20" s="42" t="inlineStr">
        <is>
          <t>Standalone</t>
        </is>
      </c>
      <c r="G20" s="42" t="inlineStr">
        <is>
          <t>Pair; extremely low self-noise. First-call classical main.</t>
        </is>
      </c>
    </row>
    <row r="21">
      <c r="A21" s="41" t="inlineStr">
        <is>
          <t>DPA 4099</t>
        </is>
      </c>
      <c r="B21" s="42" t="inlineStr">
        <is>
          <t>SDC</t>
        </is>
      </c>
      <c r="C21" s="42" t="inlineStr">
        <is>
          <t>Supercardioid</t>
        </is>
      </c>
      <c r="D21" s="42" t="inlineStr">
        <is>
          <t>Instrument clip — strings, brass, woodwinds, piano, guitar; spot mic on kit</t>
        </is>
      </c>
      <c r="E21" s="42" t="inlineStr">
        <is>
          <t>Requires 48V</t>
        </is>
      </c>
      <c r="F21" s="42" t="inlineStr">
        <is>
          <t>Standalone</t>
        </is>
      </c>
      <c r="G21" s="42" t="inlineStr">
        <is>
          <t>144 dB SPL; instrument-specific mounts</t>
        </is>
      </c>
    </row>
    <row r="22">
      <c r="A22" s="41" t="inlineStr">
        <is>
          <t>Shure SM81</t>
        </is>
      </c>
      <c r="B22" s="42" t="inlineStr">
        <is>
          <t>SDC</t>
        </is>
      </c>
      <c r="C22" s="42" t="inlineStr">
        <is>
          <t>Cardioid</t>
        </is>
      </c>
      <c r="D22" s="42" t="inlineStr">
        <is>
          <t>Overheads, hi-hat, acoustic instruments</t>
        </is>
      </c>
      <c r="E22" s="42" t="inlineStr">
        <is>
          <t>Requires 48V</t>
        </is>
      </c>
      <c r="F22" s="42" t="inlineStr">
        <is>
          <t>Standalone</t>
        </is>
      </c>
      <c r="G22" s="43" t="n"/>
    </row>
    <row r="23">
      <c r="A23" s="41" t="inlineStr">
        <is>
          <t>Shure Beta 91</t>
        </is>
      </c>
      <c r="B23" s="42" t="inlineStr">
        <is>
          <t>SDC</t>
        </is>
      </c>
      <c r="C23" s="42" t="inlineStr">
        <is>
          <t>Boundary (half-card.)</t>
        </is>
      </c>
      <c r="D23" s="42" t="inlineStr">
        <is>
          <t>Kick drum — attack layer (inside, on head)</t>
        </is>
      </c>
      <c r="E23" s="42" t="inlineStr">
        <is>
          <t>Requires 48V</t>
        </is>
      </c>
      <c r="F23" s="42" t="inlineStr">
        <is>
          <t>Standalone</t>
        </is>
      </c>
      <c r="G23" s="42" t="inlineStr">
        <is>
          <t>Pair with Beta 52</t>
        </is>
      </c>
    </row>
    <row r="24">
      <c r="A24" s="41" t="inlineStr">
        <is>
          <t>AKG C422</t>
        </is>
      </c>
      <c r="B24" s="42" t="inlineStr">
        <is>
          <t>SDC</t>
        </is>
      </c>
      <c r="C24" s="42" t="inlineStr">
        <is>
          <t>Stereo coincident</t>
        </is>
      </c>
      <c r="D24" s="42" t="inlineStr">
        <is>
          <t>Stereo overheads, acoustic piano</t>
        </is>
      </c>
      <c r="E24" s="42" t="inlineStr">
        <is>
          <t>Requires 48V</t>
        </is>
      </c>
      <c r="F24" s="42" t="inlineStr">
        <is>
          <t>Standalone</t>
        </is>
      </c>
      <c r="G24" s="42" t="inlineStr">
        <is>
          <t>XY stereo pair in one body</t>
        </is>
      </c>
    </row>
    <row r="25">
      <c r="A25" s="41" t="inlineStr">
        <is>
          <t>Audix M1280BHC</t>
        </is>
      </c>
      <c r="B25" s="42" t="inlineStr">
        <is>
          <t>SDC</t>
        </is>
      </c>
      <c r="C25" s="42" t="inlineStr">
        <is>
          <t>Cardioid</t>
        </is>
      </c>
      <c r="D25" s="42" t="inlineStr">
        <is>
          <t>Hi-hat — ultra-compact condenser clip mic</t>
        </is>
      </c>
      <c r="E25" s="42" t="inlineStr">
        <is>
          <t>Requires 48V</t>
        </is>
      </c>
      <c r="F25" s="42" t="inlineStr">
        <is>
          <t>Audix DP8</t>
        </is>
      </c>
      <c r="G25" s="43" t="n"/>
    </row>
    <row r="26">
      <c r="A26" s="41" t="inlineStr">
        <is>
          <t>Audix M1280B</t>
        </is>
      </c>
      <c r="B26" s="42" t="inlineStr">
        <is>
          <t>SDC</t>
        </is>
      </c>
      <c r="C26" s="42" t="inlineStr">
        <is>
          <t>Cardioid</t>
        </is>
      </c>
      <c r="D26" s="42" t="inlineStr">
        <is>
          <t>Overheads / cymbals — compact matched pair</t>
        </is>
      </c>
      <c r="E26" s="42" t="inlineStr">
        <is>
          <t>Requires 48V</t>
        </is>
      </c>
      <c r="F26" s="42" t="inlineStr">
        <is>
          <t>Audix DP8</t>
        </is>
      </c>
      <c r="G26" s="42" t="inlineStr">
        <is>
          <t>×2 in DP8</t>
        </is>
      </c>
    </row>
    <row r="27">
      <c r="A27" s="41" t="inlineStr">
        <is>
          <t>Earthworks DM6</t>
        </is>
      </c>
      <c r="B27" s="42" t="inlineStr">
        <is>
          <t>SDC</t>
        </is>
      </c>
      <c r="C27" s="42" t="inlineStr">
        <is>
          <t>Supercardioid</t>
        </is>
      </c>
      <c r="D27" s="42" t="inlineStr">
        <is>
          <t>Kick drum — condenser; wide freq response; solo or layer with dynamic</t>
        </is>
      </c>
      <c r="E27" s="42" t="inlineStr">
        <is>
          <t>Requires 48V</t>
        </is>
      </c>
      <c r="F27" s="42" t="inlineStr">
        <is>
          <t>Earthworks DK-6</t>
        </is>
      </c>
      <c r="G27" s="42" t="inlineStr">
        <is>
          <t>Triad-Orbit M2-R mount included</t>
        </is>
      </c>
    </row>
    <row r="28">
      <c r="A28" s="41" t="inlineStr">
        <is>
          <t>Earthworks DM17</t>
        </is>
      </c>
      <c r="B28" s="42" t="inlineStr">
        <is>
          <t>SDC</t>
        </is>
      </c>
      <c r="C28" s="42" t="inlineStr">
        <is>
          <t>Cardioid</t>
        </is>
      </c>
      <c r="D28" s="42" t="inlineStr">
        <is>
          <t>Snare, toms — rim-mount (RM3); condenser clarity on kit</t>
        </is>
      </c>
      <c r="E28" s="42" t="inlineStr">
        <is>
          <t>Requires 48V</t>
        </is>
      </c>
      <c r="F28" s="42" t="inlineStr">
        <is>
          <t>Earthworks DK-6</t>
        </is>
      </c>
      <c r="G28" s="42" t="inlineStr">
        <is>
          <t>×4 in kit; RM3 rim mounts included</t>
        </is>
      </c>
    </row>
    <row r="29">
      <c r="A29" s="41" t="inlineStr">
        <is>
          <t>Earthworks SR20sp G2</t>
        </is>
      </c>
      <c r="B29" s="42" t="inlineStr">
        <is>
          <t>SDC</t>
        </is>
      </c>
      <c r="C29" s="42" t="inlineStr">
        <is>
          <t>Cardioid</t>
        </is>
      </c>
      <c r="D29" s="42" t="inlineStr">
        <is>
          <t>Drum overheads — matched stereo pair</t>
        </is>
      </c>
      <c r="E29" s="42" t="inlineStr">
        <is>
          <t>Requires 48V</t>
        </is>
      </c>
      <c r="F29" s="42" t="inlineStr">
        <is>
          <t>Earthworks DK-6</t>
        </is>
      </c>
      <c r="G29" s="43" t="n"/>
    </row>
    <row r="30">
      <c r="A30" s="41" t="inlineStr">
        <is>
          <t>Earthworks SR25</t>
        </is>
      </c>
      <c r="B30" s="42" t="inlineStr">
        <is>
          <t>SDC</t>
        </is>
      </c>
      <c r="C30" s="42" t="inlineStr">
        <is>
          <t>Cardioid</t>
        </is>
      </c>
      <c r="D30" s="42" t="inlineStr">
        <is>
          <t>Overheads (×2) or kick (×1) — 3 mics in DK-25</t>
        </is>
      </c>
      <c r="E30" s="42" t="inlineStr">
        <is>
          <t>Requires 48V</t>
        </is>
      </c>
      <c r="F30" s="42" t="inlineStr">
        <is>
          <t>Earthworks DK-25</t>
        </is>
      </c>
      <c r="G30" s="42" t="inlineStr">
        <is>
          <t>×3 in kit</t>
        </is>
      </c>
    </row>
    <row r="31">
      <c r="A31" s="41" t="inlineStr">
        <is>
          <t>sE sE8</t>
        </is>
      </c>
      <c r="B31" s="42" t="inlineStr">
        <is>
          <t>SDC</t>
        </is>
      </c>
      <c r="C31" s="42" t="inlineStr">
        <is>
          <t>Cardioid</t>
        </is>
      </c>
      <c r="D31" s="42" t="inlineStr">
        <is>
          <t>Drum overheads — matched stereo pair</t>
        </is>
      </c>
      <c r="E31" s="42" t="inlineStr">
        <is>
          <t>Requires 48V</t>
        </is>
      </c>
      <c r="F31" s="42" t="inlineStr">
        <is>
          <t>sE V Pack Arena</t>
        </is>
      </c>
      <c r="G31" s="43" t="n"/>
    </row>
    <row r="32">
      <c r="A32" s="41" t="inlineStr">
        <is>
          <t>Line Audio OM1</t>
        </is>
      </c>
      <c r="B32" s="42" t="inlineStr">
        <is>
          <t>SDC</t>
        </is>
      </c>
      <c r="C32" s="42" t="inlineStr">
        <is>
          <t>Omni pressure</t>
        </is>
      </c>
      <c r="D32" s="42" t="inlineStr">
        <is>
          <t>Crowd / ambient — flown 18' above stage at The Memo</t>
        </is>
      </c>
      <c r="E32" s="42" t="inlineStr">
        <is>
          <t>Requires 48V</t>
        </is>
      </c>
      <c r="F32" s="42" t="inlineStr">
        <is>
          <t>Standalone</t>
        </is>
      </c>
      <c r="G32" s="42" t="inlineStr">
        <is>
          <t>Pair; EQ starting points in venue-notes.md</t>
        </is>
      </c>
    </row>
    <row r="33">
      <c r="A33" s="41" t="inlineStr">
        <is>
          <t>Line Audio CM4</t>
        </is>
      </c>
      <c r="B33" s="42" t="inlineStr">
        <is>
          <t>SDC</t>
        </is>
      </c>
      <c r="C33" s="42" t="inlineStr">
        <is>
          <t>Cardioid (ORTF pr)</t>
        </is>
      </c>
      <c r="D33" s="42" t="inlineStr">
        <is>
          <t>Crowd, balcony rear-facing at The Memo</t>
        </is>
      </c>
      <c r="E33" s="42" t="inlineStr">
        <is>
          <t>Requires 48V</t>
        </is>
      </c>
      <c r="F33" s="42" t="inlineStr">
        <is>
          <t>Standalone</t>
        </is>
      </c>
      <c r="G33" s="42" t="inlineStr">
        <is>
          <t>Pair; EQ starting points in venue-notes.md</t>
        </is>
      </c>
    </row>
    <row r="34">
      <c r="A34" s="41" t="inlineStr">
        <is>
          <t>Deity S2</t>
        </is>
      </c>
      <c r="B34" s="42" t="inlineStr">
        <is>
          <t>SDC / Shotgun</t>
        </is>
      </c>
      <c r="C34" s="42" t="inlineStr">
        <is>
          <t>Short shotgun</t>
        </is>
      </c>
      <c r="D34" s="42" t="inlineStr">
        <is>
          <t>Crowd — under main-floor PA, aimed into audience at The Memo</t>
        </is>
      </c>
      <c r="E34" s="42" t="inlineStr">
        <is>
          <t>Requires 48V</t>
        </is>
      </c>
      <c r="F34" s="42" t="inlineStr">
        <is>
          <t>Standalone</t>
        </is>
      </c>
      <c r="G34" s="42" t="inlineStr">
        <is>
          <t>Pair; EQ starting points in venue-notes.md</t>
        </is>
      </c>
    </row>
    <row r="35">
      <c r="A35" s="41" t="inlineStr">
        <is>
          <t>Neumann KMS 105</t>
        </is>
      </c>
      <c r="B35" s="42" t="inlineStr">
        <is>
          <t>LDC</t>
        </is>
      </c>
      <c r="C35" s="42" t="inlineStr">
        <is>
          <t>Supercardioid</t>
        </is>
      </c>
      <c r="D35" s="42" t="inlineStr">
        <is>
          <t>Lead vocals (stage condenser) — detail and presence over dynamics</t>
        </is>
      </c>
      <c r="E35" s="42" t="inlineStr">
        <is>
          <t>Requires 48V</t>
        </is>
      </c>
      <c r="F35" s="42" t="inlineStr">
        <is>
          <t>Standalone</t>
        </is>
      </c>
      <c r="G35" s="42" t="inlineStr">
        <is>
          <t>Designed for live handheld use</t>
        </is>
      </c>
    </row>
    <row r="36">
      <c r="A36" s="41" t="inlineStr">
        <is>
          <t>Neumann TLM 102</t>
        </is>
      </c>
      <c r="B36" s="42" t="inlineStr">
        <is>
          <t>LDC</t>
        </is>
      </c>
      <c r="C36" s="42" t="inlineStr">
        <is>
          <t>Cardioid</t>
        </is>
      </c>
      <c r="D36" s="42" t="inlineStr">
        <is>
          <t>Studio/recording vocals, acoustic instruments, overheads</t>
        </is>
      </c>
      <c r="E36" s="42" t="inlineStr">
        <is>
          <t>Requires 48V</t>
        </is>
      </c>
      <c r="F36" s="42" t="inlineStr">
        <is>
          <t>Standalone</t>
        </is>
      </c>
      <c r="G36" s="42" t="inlineStr">
        <is>
          <t>Transformerless; low self-noise</t>
        </is>
      </c>
    </row>
    <row r="37">
      <c r="A37" s="41" t="inlineStr">
        <is>
          <t>AKG C414</t>
        </is>
      </c>
      <c r="B37" s="42" t="inlineStr">
        <is>
          <t>LDC</t>
        </is>
      </c>
      <c r="C37" s="42" t="inlineStr">
        <is>
          <t>Omni/Card/Fig-8/Supercard</t>
        </is>
      </c>
      <c r="D37" s="42" t="inlineStr">
        <is>
          <t>Versatile — room, overheads, vocals, brass, strings</t>
        </is>
      </c>
      <c r="E37" s="42" t="inlineStr">
        <is>
          <t>Requires 48V</t>
        </is>
      </c>
      <c r="F37" s="42" t="inlineStr">
        <is>
          <t>Standalone</t>
        </is>
      </c>
      <c r="G37" s="42" t="inlineStr">
        <is>
          <t>Multiple pattern/pad/HPF switches</t>
        </is>
      </c>
    </row>
    <row r="38">
      <c r="A38" s="41" t="inlineStr">
        <is>
          <t>Shure Beta 27</t>
        </is>
      </c>
      <c r="B38" s="42" t="inlineStr">
        <is>
          <t>LDC</t>
        </is>
      </c>
      <c r="C38" s="42" t="inlineStr">
        <is>
          <t>Cardioid</t>
        </is>
      </c>
      <c r="D38" s="42" t="inlineStr">
        <is>
          <t>Vocals, overheads, acoustic instruments</t>
        </is>
      </c>
      <c r="E38" s="42" t="inlineStr">
        <is>
          <t>Requires 48V</t>
        </is>
      </c>
      <c r="F38" s="42" t="inlineStr">
        <is>
          <t>Standalone</t>
        </is>
      </c>
      <c r="G38" s="42" t="inlineStr">
        <is>
          <t>Low-cut &amp; −15 dB pad switches</t>
        </is>
      </c>
    </row>
    <row r="39">
      <c r="A39" s="41" t="inlineStr">
        <is>
          <t>Warm Audio WA-87</t>
        </is>
      </c>
      <c r="B39" s="42" t="inlineStr">
        <is>
          <t>LDC</t>
        </is>
      </c>
      <c r="C39" s="42" t="inlineStr">
        <is>
          <t>Omni / Cardioid / Fig-8</t>
        </is>
      </c>
      <c r="D39" s="42" t="inlineStr">
        <is>
          <t>Vocals, room, overheads, acoustic instruments</t>
        </is>
      </c>
      <c r="E39" s="42" t="inlineStr">
        <is>
          <t>Requires 48V</t>
        </is>
      </c>
      <c r="F39" s="42" t="inlineStr">
        <is>
          <t>Standalone</t>
        </is>
      </c>
      <c r="G39" s="42" t="inlineStr">
        <is>
          <t>Transformer-coupled; U87-inspired; multi-pattern; low-cut &amp; pad switches</t>
        </is>
      </c>
    </row>
    <row r="40">
      <c r="A40" s="41" t="inlineStr">
        <is>
          <t>Warm Audio WA-14</t>
        </is>
      </c>
      <c r="B40" s="42" t="inlineStr">
        <is>
          <t>LDC</t>
        </is>
      </c>
      <c r="C40" s="42" t="inlineStr">
        <is>
          <t>Omni / Cardioid / Fig-8</t>
        </is>
      </c>
      <c r="D40" s="42" t="inlineStr">
        <is>
          <t>Vocals, room, overheads, instruments — versatile multi-pattern</t>
        </is>
      </c>
      <c r="E40" s="42" t="inlineStr">
        <is>
          <t>Requires 48V</t>
        </is>
      </c>
      <c r="F40" s="42" t="inlineStr">
        <is>
          <t>Standalone</t>
        </is>
      </c>
      <c r="G40" s="42" t="inlineStr">
        <is>
          <t>Transformer-coupled; C414-inspired; multiple pattern/pad/HPF switches</t>
        </is>
      </c>
    </row>
    <row r="41">
      <c r="A41" s="41" t="inlineStr">
        <is>
          <t>Royer R-121</t>
        </is>
      </c>
      <c r="B41" s="42" t="inlineStr">
        <is>
          <t>Ribbon</t>
        </is>
      </c>
      <c r="C41" s="42" t="inlineStr">
        <is>
          <t>Figure-8</t>
        </is>
      </c>
      <c r="D41" s="42" t="inlineStr">
        <is>
          <t>Guitar cab blend mic (pair with SM57)</t>
        </is>
      </c>
      <c r="E41" s="44" t="inlineStr">
        <is>
          <t>⚠ NO 48V — destroys ribbon</t>
        </is>
      </c>
      <c r="F41" s="42" t="inlineStr">
        <is>
          <t>Standalone</t>
        </is>
      </c>
      <c r="G41" s="42" t="inlineStr">
        <is>
          <t>Sit 6–10 dB below SM57; polarity-check in mono; VCA-group with SM57 (CH 13/15 at Memo)</t>
        </is>
      </c>
    </row>
    <row r="42">
      <c r="A42" s="41" t="inlineStr">
        <is>
          <t>Royer R-10</t>
        </is>
      </c>
      <c r="B42" s="42" t="inlineStr">
        <is>
          <t>Ribbon</t>
        </is>
      </c>
      <c r="C42" s="42" t="inlineStr">
        <is>
          <t>Figure-8</t>
        </is>
      </c>
      <c r="D42" s="42" t="inlineStr">
        <is>
          <t>Guitar cab, room, acoustic instruments — alt to R-121</t>
        </is>
      </c>
      <c r="E42" s="44" t="inlineStr">
        <is>
          <t>⚠ NO 48V — destroys ribbon</t>
        </is>
      </c>
      <c r="F42" s="42" t="inlineStr">
        <is>
          <t>Standalone</t>
        </is>
      </c>
      <c r="G42" s="43" t="n"/>
    </row>
    <row r="43">
      <c r="A43" s="41" t="inlineStr">
        <is>
          <t>AEA R88</t>
        </is>
      </c>
      <c r="B43" s="42" t="inlineStr">
        <is>
          <t>Ribbon</t>
        </is>
      </c>
      <c r="C43" s="42" t="inlineStr">
        <is>
          <t>Stereo Fig-8 (Blumlein)</t>
        </is>
      </c>
      <c r="D43" s="42" t="inlineStr">
        <is>
          <t>Room, overhead, acoustic ensemble</t>
        </is>
      </c>
      <c r="E43" s="44" t="inlineStr">
        <is>
          <t>⚠ NO 48V — destroys ribbon</t>
        </is>
      </c>
      <c r="F43" s="42" t="inlineStr">
        <is>
          <t>Standalone</t>
        </is>
      </c>
      <c r="G43" s="42" t="inlineStr">
        <is>
          <t>High output — watch gain; handle with care</t>
        </is>
      </c>
    </row>
    <row r="44">
      <c r="A44" s="41" t="inlineStr">
        <is>
          <t>Radial J48</t>
        </is>
      </c>
      <c r="B44" s="42" t="inlineStr">
        <is>
          <t>DI</t>
        </is>
      </c>
      <c r="C44" s="42" t="inlineStr">
        <is>
          <t>Active (phantom)</t>
        </is>
      </c>
      <c r="D44" s="42" t="inlineStr">
        <is>
          <t>General-purpose DI — keys, bass, acoustic guitar, playback</t>
        </is>
      </c>
      <c r="E44" s="42" t="inlineStr">
        <is>
          <t>Requires 48V</t>
        </is>
      </c>
      <c r="F44" s="42" t="inlineStr">
        <is>
          <t>Standalone</t>
        </is>
      </c>
      <c r="G44" s="42" t="inlineStr">
        <is>
          <t>Jensen-style transformer output</t>
        </is>
      </c>
    </row>
    <row r="45">
      <c r="A45" s="41" t="inlineStr">
        <is>
          <t>Radial ProDI</t>
        </is>
      </c>
      <c r="B45" s="42" t="inlineStr">
        <is>
          <t>DI</t>
        </is>
      </c>
      <c r="C45" s="42" t="inlineStr">
        <is>
          <t>Passive</t>
        </is>
      </c>
      <c r="D45" s="42" t="inlineStr">
        <is>
          <t>General-purpose passive DI — guitar, bass, keys, acoustic</t>
        </is>
      </c>
      <c r="E45" s="42" t="inlineStr">
        <is>
          <t>No phantom</t>
        </is>
      </c>
      <c r="F45" s="42" t="inlineStr">
        <is>
          <t>Standalone</t>
        </is>
      </c>
      <c r="G45" s="42" t="inlineStr">
        <is>
          <t>Passive; transformer-isolated; no power required</t>
        </is>
      </c>
    </row>
    <row r="46">
      <c r="A46" s="41" t="inlineStr">
        <is>
          <t>Neve RNDI</t>
        </is>
      </c>
      <c r="B46" s="42" t="inlineStr">
        <is>
          <t>DI</t>
        </is>
      </c>
      <c r="C46" s="42" t="inlineStr">
        <is>
          <t>Active (phantom)</t>
        </is>
      </c>
      <c r="D46" s="42" t="inlineStr">
        <is>
          <t>Hi-Z instrument — electric bass, guitar direct, synth</t>
        </is>
      </c>
      <c r="E46" s="42" t="inlineStr">
        <is>
          <t>Requires 48V</t>
        </is>
      </c>
      <c r="F46" s="42" t="inlineStr">
        <is>
          <t>Standalone</t>
        </is>
      </c>
      <c r="G46" s="42" t="inlineStr">
        <is>
          <t>Transformer-balanced; excellent for bass clarity</t>
        </is>
      </c>
    </row>
  </sheetData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2026-07-19T16:12:17Z</dcterms:created>
  <dcterms:modified xmlns:dcterms="http://purl.org/dc/terms/" xmlns:xsi="http://www.w3.org/2001/XMLSchema-instance" xsi:type="dcterms:W3CDTF">2026-07-19T19:37:52Z</dcterms:modified>
</cp:coreProperties>
</file>