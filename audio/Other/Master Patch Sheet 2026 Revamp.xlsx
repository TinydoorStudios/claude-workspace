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sign 2 - Two-Up 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  <scheme val="minor"/>
    </font>
    <font>
      <name val="Calibri"/>
      <b val="1"/>
      <color rgb="FFFFFFFF"/>
      <sz val="18"/>
    </font>
    <font/>
    <font>
      <name val="Calibri"/>
      <b val="1"/>
      <color rgb="FFFFFFFF"/>
      <sz val="11"/>
    </font>
    <font>
      <name val="Calibri"/>
      <color theme="1"/>
      <sz val="11"/>
    </font>
    <font>
      <name val="Calibri"/>
      <i val="1"/>
      <color rgb="FFFFFFFF"/>
      <sz val="9"/>
    </font>
    <font>
      <name val="Consolas"/>
      <i val="1"/>
      <color rgb="FF6B7280"/>
      <sz val="10"/>
    </font>
    <font>
      <name val="Calibri"/>
      <b val="1"/>
      <color rgb="FF6B7280"/>
      <sz val="10"/>
    </font>
    <font>
      <name val="Calibri"/>
      <color theme="1"/>
      <scheme val="minor"/>
    </font>
    <font>
      <name val="Consolas"/>
      <color rgb="FF000000"/>
      <sz val="10"/>
    </font>
    <font>
      <name val="Calibri"/>
      <color rgb="FF000000"/>
      <sz val="10"/>
    </font>
    <font>
      <name val="Calibri"/>
      <b val="1"/>
      <color rgb="FFFFFFFF"/>
      <sz val="12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onsolas"/>
      <color rgb="FF000000"/>
      <sz val="9"/>
    </font>
    <font>
      <name val="Calibri"/>
      <color rgb="FF000000"/>
      <sz val="9"/>
    </font>
    <font>
      <name val="Calibri"/>
      <i val="1"/>
      <color rgb="FF6B7280"/>
      <sz val="8"/>
    </font>
    <font>
      <name val="Calibri"/>
      <b val="1"/>
      <color rgb="00000000"/>
      <sz val="10"/>
    </font>
    <font>
      <name val="Calibri"/>
      <color rgb="00000000"/>
      <sz val="10"/>
    </font>
  </fonts>
  <fills count="14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111827"/>
        <bgColor rgb="FF111827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F4F0E8"/>
        <bgColor rgb="FFF4F0E8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6B26B"/>
        <bgColor rgb="FFF6B26B"/>
      </patternFill>
    </fill>
    <fill>
      <patternFill patternType="solid">
        <fgColor rgb="00FFFFFF"/>
      </patternFill>
    </fill>
    <fill>
      <patternFill patternType="solid">
        <fgColor rgb="00F4F0E8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 style="thin">
        <color rgb="FF9CA3AF"/>
      </left>
      <top style="thin">
        <color rgb="FF9CA3AF"/>
      </top>
      <bottom style="thin">
        <color rgb="FF9CA3AF"/>
      </bottom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top style="thin">
        <color rgb="FF9CA3AF"/>
      </top>
    </border>
    <border>
      <right style="thin">
        <color rgb="FF9CA3AF"/>
      </right>
      <top style="thin">
        <color rgb="FF9CA3AF"/>
      </top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5" applyAlignment="1" pivotButton="0" quotePrefix="0" xfId="0">
      <alignment horizontal="center" vertical="center"/>
    </xf>
    <xf numFmtId="0" fontId="10" fillId="6" borderId="5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3" fillId="7" borderId="6" applyAlignment="1" pivotButton="0" quotePrefix="0" xfId="0">
      <alignment horizontal="center" vertical="center"/>
    </xf>
    <xf numFmtId="0" fontId="2" fillId="0" borderId="7" pivotButton="0" quotePrefix="0" xfId="0"/>
    <xf numFmtId="0" fontId="12" fillId="5" borderId="5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0" fontId="15" fillId="9" borderId="5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10" borderId="5" applyAlignment="1" pivotButton="0" quotePrefix="0" xfId="0">
      <alignment horizontal="center" vertical="center"/>
    </xf>
    <xf numFmtId="0" fontId="15" fillId="11" borderId="5" applyAlignment="1" pivotButton="0" quotePrefix="0" xfId="0">
      <alignment horizontal="center" vertical="center"/>
    </xf>
    <xf numFmtId="0" fontId="15" fillId="11" borderId="6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0" fontId="17" fillId="5" borderId="5" applyAlignment="1" pivotButton="0" quotePrefix="0" xfId="0">
      <alignment horizontal="center" vertical="center"/>
    </xf>
    <xf numFmtId="0" fontId="16" fillId="9" borderId="5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/>
    </xf>
    <xf numFmtId="0" fontId="16" fillId="10" borderId="5" applyAlignment="1" pivotButton="0" quotePrefix="0" xfId="0">
      <alignment horizontal="center" vertical="center"/>
    </xf>
    <xf numFmtId="0" fontId="16" fillId="11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17" fillId="6" borderId="6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center" vertical="center"/>
    </xf>
    <xf numFmtId="0" fontId="13" fillId="7" borderId="5" applyAlignment="1" pivotButton="0" quotePrefix="0" xfId="0">
      <alignment horizontal="center" vertical="center"/>
    </xf>
    <xf numFmtId="0" fontId="0" fillId="0" borderId="7" pivotButton="0" quotePrefix="0" xfId="0"/>
    <xf numFmtId="0" fontId="14" fillId="4" borderId="4" applyAlignment="1" pivotButton="0" quotePrefix="0" xfId="0">
      <alignment horizontal="center" vertical="center"/>
    </xf>
    <xf numFmtId="0" fontId="19" fillId="12" borderId="10" applyAlignment="1" pivotButton="0" quotePrefix="0" xfId="0">
      <alignment horizontal="center" vertical="center"/>
    </xf>
    <xf numFmtId="0" fontId="20" fillId="13" borderId="10" applyAlignment="1" pivotButton="0" quotePrefix="0" xfId="0">
      <alignment horizontal="center" vertical="center"/>
    </xf>
    <xf numFmtId="0" fontId="0" fillId="13" borderId="10" pivotButton="0" quotePrefix="0" xfId="0"/>
  </cellXfs>
  <cellStyles count="1">
    <cellStyle name="Normal" xfId="0" builtinId="0"/>
  </cellStyles>
  <dxfs count="4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.43" customWidth="1" style="37" min="1" max="1"/>
    <col width="26" customWidth="1" style="37" min="2" max="2"/>
    <col width="16" customWidth="1" style="37" min="3" max="3"/>
    <col width="12" customWidth="1" style="37" min="4" max="4"/>
    <col width="6.43" customWidth="1" style="37" min="5" max="5"/>
    <col width="9.43" customWidth="1" style="37" min="6" max="6"/>
    <col width="30" customWidth="1" style="37" min="7" max="7"/>
    <col width="2.43" customWidth="1" style="37" min="8" max="8"/>
    <col width="5.43" customWidth="1" style="37" min="9" max="9"/>
    <col width="26" customWidth="1" style="37" min="10" max="10"/>
    <col width="16" customWidth="1" style="37" min="11" max="11"/>
    <col width="12" customWidth="1" style="37" min="12" max="12"/>
    <col width="6.43" customWidth="1" style="37" min="13" max="13"/>
    <col width="9.43" customWidth="1" style="37" min="14" max="14"/>
    <col width="30" customWidth="1" style="37" min="15" max="15"/>
    <col hidden="1" width="1" customWidth="1" style="37" min="16" max="17"/>
    <col width="8.710000000000001" customWidth="1" style="37" min="18" max="26"/>
  </cols>
  <sheetData>
    <row r="1" ht="30" customHeight="1" s="37">
      <c r="A1" s="38" t="inlineStr">
        <is>
          <t>INPUT LIST — MASTER TEMPLATE (Two-Up)</t>
        </is>
      </c>
    </row>
    <row r="2" ht="19.5" customHeight="1" s="37">
      <c r="A2" s="4" t="inlineStr">
        <is>
          <t>Show:</t>
        </is>
      </c>
      <c r="B2" s="5" t="n"/>
      <c r="C2" s="4" t="inlineStr">
        <is>
          <t>Venue:</t>
        </is>
      </c>
      <c r="D2" s="5" t="n"/>
      <c r="E2" s="4" t="inlineStr">
        <is>
          <t>Date:</t>
        </is>
      </c>
      <c r="F2" s="5" t="n"/>
      <c r="H2" s="5" t="n"/>
      <c r="I2" s="4" t="inlineStr">
        <is>
          <t>FOH:</t>
        </is>
      </c>
      <c r="J2" s="5" t="n"/>
      <c r="K2" s="5" t="n"/>
      <c r="L2" s="4" t="inlineStr">
        <is>
          <t>MON:</t>
        </is>
      </c>
      <c r="M2" s="5" t="n"/>
    </row>
    <row r="3" ht="30" customHeight="1" s="37">
      <c r="A3" s="39" t="inlineStr">
        <is>
          <t xml:space="preserve">Split Patch: type the zone letter + location number — R-1 to R-16 (Red), G-1 to G-12 (Green), B-1 to B-12 (Blue), O-1 to O-12 (Orange) — or WIRELESS for wireless channels. The cell colors itself to match as you type. </t>
        </is>
      </c>
    </row>
    <row r="4" ht="21.75" customHeight="1" s="37">
      <c r="A4" s="8" t="inlineStr">
        <is>
          <t>Ch</t>
        </is>
      </c>
      <c r="B4" s="8" t="inlineStr">
        <is>
          <t>Instrument</t>
        </is>
      </c>
      <c r="C4" s="8" t="inlineStr">
        <is>
          <t>Mic/DI</t>
        </is>
      </c>
      <c r="D4" s="8" t="inlineStr">
        <is>
          <t>Split Patch</t>
        </is>
      </c>
      <c r="E4" s="8" t="inlineStr">
        <is>
          <t>48V</t>
        </is>
      </c>
      <c r="F4" s="8" t="inlineStr">
        <is>
          <t>Stand</t>
        </is>
      </c>
      <c r="G4" s="8" t="inlineStr">
        <is>
          <t>Notes</t>
        </is>
      </c>
      <c r="I4" s="8" t="inlineStr">
        <is>
          <t>Ch</t>
        </is>
      </c>
      <c r="J4" s="8" t="inlineStr">
        <is>
          <t>Instrument</t>
        </is>
      </c>
      <c r="K4" s="8" t="inlineStr">
        <is>
          <t>Mic/DI</t>
        </is>
      </c>
      <c r="L4" s="8" t="inlineStr">
        <is>
          <t>Split Patch</t>
        </is>
      </c>
      <c r="M4" s="8" t="inlineStr">
        <is>
          <t>48V</t>
        </is>
      </c>
      <c r="N4" s="8" t="inlineStr">
        <is>
          <t>Stand</t>
        </is>
      </c>
      <c r="O4" s="8" t="inlineStr">
        <is>
          <t>Notes</t>
        </is>
      </c>
    </row>
    <row r="5" ht="19.5" customHeight="1" s="37">
      <c r="A5" s="9" t="inlineStr">
        <is>
          <t>1</t>
        </is>
      </c>
      <c r="B5" s="10" t="n"/>
      <c r="C5" s="10" t="n"/>
      <c r="D5" s="9" t="n"/>
      <c r="E5" s="10" t="n"/>
      <c r="F5" s="10" t="n"/>
      <c r="G5" s="10" t="n"/>
      <c r="I5" s="9" t="inlineStr">
        <is>
          <t>17</t>
        </is>
      </c>
      <c r="J5" s="10" t="n"/>
      <c r="K5" s="10" t="n"/>
      <c r="L5" s="9" t="n"/>
      <c r="M5" s="10" t="n"/>
      <c r="N5" s="10" t="n"/>
      <c r="O5" s="10" t="n"/>
      <c r="P5" s="11">
        <f>IF(OR($D5="",UPPER($D5)="WIRELESS"),"",IF(UPPER(LEFT($D5,1))="R","Red",IF(UPPER(LEFT($D5,1))="G","Green",IF(UPPER(LEFT($D5,1))="B","Blue",IF(UPPER(LEFT($D5,1))="O","Orange",""))))&amp;"-"&amp;IFERROR(VALUE(SUBSTITUTE(MID($D5,2,10),"-","")),""))</f>
        <v/>
      </c>
      <c r="Q5" s="11">
        <f>IF(OR($L5="",UPPER($L5)="WIRELESS"),"",IF(UPPER(LEFT($L5,1))="R","Red",IF(UPPER(LEFT($L5,1))="G","Green",IF(UPPER(LEFT($L5,1))="B","Blue",IF(UPPER(LEFT($L5,1))="O","Orange",""))))&amp;"-"&amp;IFERROR(VALUE(SUBSTITUTE(MID($L5,2,10),"-","")),""))</f>
        <v/>
      </c>
    </row>
    <row r="6" ht="19.5" customHeight="1" s="37">
      <c r="A6" s="12" t="n">
        <v>2</v>
      </c>
      <c r="B6" s="13" t="n"/>
      <c r="C6" s="13" t="n"/>
      <c r="D6" s="12" t="n"/>
      <c r="E6" s="13" t="n"/>
      <c r="F6" s="13" t="n"/>
      <c r="G6" s="13" t="n"/>
      <c r="I6" s="12" t="n">
        <v>18</v>
      </c>
      <c r="J6" s="13" t="n"/>
      <c r="K6" s="13" t="n"/>
      <c r="L6" s="12" t="n"/>
      <c r="M6" s="13" t="n"/>
      <c r="N6" s="13" t="n"/>
      <c r="O6" s="13" t="n"/>
      <c r="P6" s="11">
        <f>IF(OR($D6="",UPPER($D6)="WIRELESS"),"",IF(UPPER(LEFT($D6,1))="R","Red",IF(UPPER(LEFT($D6,1))="G","Green",IF(UPPER(LEFT($D6,1))="B","Blue",IF(UPPER(LEFT($D6,1))="O","Orange",""))))&amp;"-"&amp;IFERROR(VALUE(SUBSTITUTE(MID($D6,2,10),"-","")),""))</f>
        <v/>
      </c>
      <c r="Q6" s="11">
        <f>IF(OR($L6="",UPPER($L6)="WIRELESS"),"",IF(UPPER(LEFT($L6,1))="R","Red",IF(UPPER(LEFT($L6,1))="G","Green",IF(UPPER(LEFT($L6,1))="B","Blue",IF(UPPER(LEFT($L6,1))="O","Orange",""))))&amp;"-"&amp;IFERROR(VALUE(SUBSTITUTE(MID($L6,2,10),"-","")),""))</f>
        <v/>
      </c>
    </row>
    <row r="7" ht="19.5" customHeight="1" s="37">
      <c r="A7" s="14" t="n">
        <v>3</v>
      </c>
      <c r="B7" s="15" t="n"/>
      <c r="C7" s="15" t="n"/>
      <c r="D7" s="14" t="n"/>
      <c r="E7" s="15" t="n"/>
      <c r="F7" s="15" t="n"/>
      <c r="G7" s="15" t="n"/>
      <c r="I7" s="14" t="n">
        <v>19</v>
      </c>
      <c r="J7" s="15" t="n"/>
      <c r="K7" s="15" t="n"/>
      <c r="L7" s="14" t="n"/>
      <c r="M7" s="15" t="n"/>
      <c r="N7" s="15" t="n"/>
      <c r="O7" s="15" t="n"/>
      <c r="P7" s="11">
        <f>IF(OR($D7="",UPPER($D7)="WIRELESS"),"",IF(UPPER(LEFT($D7,1))="R","Red",IF(UPPER(LEFT($D7,1))="G","Green",IF(UPPER(LEFT($D7,1))="B","Blue",IF(UPPER(LEFT($D7,1))="O","Orange",""))))&amp;"-"&amp;IFERROR(VALUE(SUBSTITUTE(MID($D7,2,10),"-","")),""))</f>
        <v/>
      </c>
      <c r="Q7" s="11">
        <f>IF(OR($L7="",UPPER($L7)="WIRELESS"),"",IF(UPPER(LEFT($L7,1))="R","Red",IF(UPPER(LEFT($L7,1))="G","Green",IF(UPPER(LEFT($L7,1))="B","Blue",IF(UPPER(LEFT($L7,1))="O","Orange",""))))&amp;"-"&amp;IFERROR(VALUE(SUBSTITUTE(MID($L7,2,10),"-","")),""))</f>
        <v/>
      </c>
    </row>
    <row r="8" ht="19.5" customHeight="1" s="37">
      <c r="A8" s="12" t="n">
        <v>4</v>
      </c>
      <c r="B8" s="13" t="n"/>
      <c r="C8" s="13" t="n"/>
      <c r="D8" s="12" t="n"/>
      <c r="E8" s="13" t="n"/>
      <c r="F8" s="13" t="n"/>
      <c r="G8" s="13" t="n"/>
      <c r="I8" s="12" t="n">
        <v>20</v>
      </c>
      <c r="J8" s="13" t="n"/>
      <c r="K8" s="13" t="n"/>
      <c r="L8" s="12" t="n"/>
      <c r="M8" s="13" t="n"/>
      <c r="N8" s="13" t="n"/>
      <c r="O8" s="13" t="n"/>
      <c r="P8" s="11">
        <f>IF(OR($D8="",UPPER($D8)="WIRELESS"),"",IF(UPPER(LEFT($D8,1))="R","Red",IF(UPPER(LEFT($D8,1))="G","Green",IF(UPPER(LEFT($D8,1))="B","Blue",IF(UPPER(LEFT($D8,1))="O","Orange",""))))&amp;"-"&amp;IFERROR(VALUE(SUBSTITUTE(MID($D8,2,10),"-","")),""))</f>
        <v/>
      </c>
      <c r="Q8" s="11">
        <f>IF(OR($L8="",UPPER($L8)="WIRELESS"),"",IF(UPPER(LEFT($L8,1))="R","Red",IF(UPPER(LEFT($L8,1))="G","Green",IF(UPPER(LEFT($L8,1))="B","Blue",IF(UPPER(LEFT($L8,1))="O","Orange",""))))&amp;"-"&amp;IFERROR(VALUE(SUBSTITUTE(MID($L8,2,10),"-","")),""))</f>
        <v/>
      </c>
    </row>
    <row r="9" ht="19.5" customHeight="1" s="37">
      <c r="A9" s="14" t="n">
        <v>5</v>
      </c>
      <c r="B9" s="15" t="n"/>
      <c r="C9" s="15" t="n"/>
      <c r="D9" s="14" t="n"/>
      <c r="E9" s="15" t="n"/>
      <c r="F9" s="15" t="n"/>
      <c r="G9" s="15" t="n"/>
      <c r="I9" s="14" t="n">
        <v>21</v>
      </c>
      <c r="J9" s="15" t="n"/>
      <c r="K9" s="15" t="n"/>
      <c r="L9" s="14" t="n"/>
      <c r="M9" s="15" t="n"/>
      <c r="N9" s="15" t="n"/>
      <c r="O9" s="15" t="n"/>
      <c r="P9" s="11">
        <f>IF(OR($D9="",UPPER($D9)="WIRELESS"),"",IF(UPPER(LEFT($D9,1))="R","Red",IF(UPPER(LEFT($D9,1))="G","Green",IF(UPPER(LEFT($D9,1))="B","Blue",IF(UPPER(LEFT($D9,1))="O","Orange",""))))&amp;"-"&amp;IFERROR(VALUE(SUBSTITUTE(MID($D9,2,10),"-","")),""))</f>
        <v/>
      </c>
      <c r="Q9" s="11">
        <f>IF(OR($L9="",UPPER($L9)="WIRELESS"),"",IF(UPPER(LEFT($L9,1))="R","Red",IF(UPPER(LEFT($L9,1))="G","Green",IF(UPPER(LEFT($L9,1))="B","Blue",IF(UPPER(LEFT($L9,1))="O","Orange",""))))&amp;"-"&amp;IFERROR(VALUE(SUBSTITUTE(MID($L9,2,10),"-","")),""))</f>
        <v/>
      </c>
    </row>
    <row r="10" ht="19.5" customHeight="1" s="37">
      <c r="A10" s="12" t="n">
        <v>6</v>
      </c>
      <c r="B10" s="13" t="n"/>
      <c r="C10" s="13" t="n"/>
      <c r="D10" s="12" t="n"/>
      <c r="E10" s="13" t="n"/>
      <c r="F10" s="13" t="n"/>
      <c r="G10" s="13" t="n"/>
      <c r="I10" s="12" t="n">
        <v>22</v>
      </c>
      <c r="J10" s="13" t="n"/>
      <c r="K10" s="13" t="n"/>
      <c r="L10" s="12" t="n"/>
      <c r="M10" s="13" t="n"/>
      <c r="N10" s="13" t="n"/>
      <c r="O10" s="13" t="n"/>
      <c r="P10" s="11">
        <f>IF(OR($D10="",UPPER($D10)="WIRELESS"),"",IF(UPPER(LEFT($D10,1))="R","Red",IF(UPPER(LEFT($D10,1))="G","Green",IF(UPPER(LEFT($D10,1))="B","Blue",IF(UPPER(LEFT($D10,1))="O","Orange",""))))&amp;"-"&amp;IFERROR(VALUE(SUBSTITUTE(MID($D10,2,10),"-","")),""))</f>
        <v/>
      </c>
      <c r="Q10" s="11">
        <f>IF(OR($L10="",UPPER($L10)="WIRELESS"),"",IF(UPPER(LEFT($L10,1))="R","Red",IF(UPPER(LEFT($L10,1))="G","Green",IF(UPPER(LEFT($L10,1))="B","Blue",IF(UPPER(LEFT($L10,1))="O","Orange",""))))&amp;"-"&amp;IFERROR(VALUE(SUBSTITUTE(MID($L10,2,10),"-","")),""))</f>
        <v/>
      </c>
    </row>
    <row r="11" ht="19.5" customHeight="1" s="37">
      <c r="A11" s="14" t="n">
        <v>7</v>
      </c>
      <c r="B11" s="15" t="n"/>
      <c r="C11" s="15" t="n"/>
      <c r="D11" s="14" t="n"/>
      <c r="E11" s="15" t="n"/>
      <c r="F11" s="15" t="n"/>
      <c r="G11" s="15" t="n"/>
      <c r="I11" s="14" t="n">
        <v>23</v>
      </c>
      <c r="J11" s="15" t="n"/>
      <c r="K11" s="15" t="n"/>
      <c r="L11" s="14" t="n"/>
      <c r="M11" s="15" t="n"/>
      <c r="N11" s="15" t="n"/>
      <c r="O11" s="15" t="n"/>
      <c r="P11" s="11">
        <f>IF(OR($D11="",UPPER($D11)="WIRELESS"),"",IF(UPPER(LEFT($D11,1))="R","Red",IF(UPPER(LEFT($D11,1))="G","Green",IF(UPPER(LEFT($D11,1))="B","Blue",IF(UPPER(LEFT($D11,1))="O","Orange",""))))&amp;"-"&amp;IFERROR(VALUE(SUBSTITUTE(MID($D11,2,10),"-","")),""))</f>
        <v/>
      </c>
      <c r="Q11" s="11">
        <f>IF(OR($L11="",UPPER($L11)="WIRELESS"),"",IF(UPPER(LEFT($L11,1))="R","Red",IF(UPPER(LEFT($L11,1))="G","Green",IF(UPPER(LEFT($L11,1))="B","Blue",IF(UPPER(LEFT($L11,1))="O","Orange",""))))&amp;"-"&amp;IFERROR(VALUE(SUBSTITUTE(MID($L11,2,10),"-","")),""))</f>
        <v/>
      </c>
    </row>
    <row r="12" ht="19.5" customHeight="1" s="37">
      <c r="A12" s="12" t="n">
        <v>8</v>
      </c>
      <c r="B12" s="13" t="n"/>
      <c r="C12" s="13" t="n"/>
      <c r="D12" s="12" t="n"/>
      <c r="E12" s="13" t="n"/>
      <c r="F12" s="13" t="n"/>
      <c r="G12" s="13" t="n"/>
      <c r="I12" s="12" t="n">
        <v>24</v>
      </c>
      <c r="J12" s="13" t="n"/>
      <c r="K12" s="13" t="n"/>
      <c r="L12" s="12" t="n"/>
      <c r="M12" s="13" t="n"/>
      <c r="N12" s="13" t="n"/>
      <c r="O12" s="13" t="n"/>
      <c r="P12" s="11">
        <f>IF(OR($D12="",UPPER($D12)="WIRELESS"),"",IF(UPPER(LEFT($D12,1))="R","Red",IF(UPPER(LEFT($D12,1))="G","Green",IF(UPPER(LEFT($D12,1))="B","Blue",IF(UPPER(LEFT($D12,1))="O","Orange",""))))&amp;"-"&amp;IFERROR(VALUE(SUBSTITUTE(MID($D12,2,10),"-","")),""))</f>
        <v/>
      </c>
      <c r="Q12" s="11">
        <f>IF(OR($L12="",UPPER($L12)="WIRELESS"),"",IF(UPPER(LEFT($L12,1))="R","Red",IF(UPPER(LEFT($L12,1))="G","Green",IF(UPPER(LEFT($L12,1))="B","Blue",IF(UPPER(LEFT($L12,1))="O","Orange",""))))&amp;"-"&amp;IFERROR(VALUE(SUBSTITUTE(MID($L12,2,10),"-","")),""))</f>
        <v/>
      </c>
    </row>
    <row r="13" ht="19.5" customHeight="1" s="37">
      <c r="A13" s="14" t="n">
        <v>9</v>
      </c>
      <c r="B13" s="15" t="n"/>
      <c r="C13" s="15" t="n"/>
      <c r="D13" s="14" t="n"/>
      <c r="E13" s="15" t="n"/>
      <c r="F13" s="15" t="n"/>
      <c r="G13" s="15" t="n"/>
      <c r="I13" s="14" t="n">
        <v>25</v>
      </c>
      <c r="J13" s="15" t="n"/>
      <c r="K13" s="15" t="n"/>
      <c r="L13" s="14" t="n"/>
      <c r="M13" s="15" t="n"/>
      <c r="N13" s="15" t="n"/>
      <c r="O13" s="15" t="n"/>
      <c r="P13" s="11">
        <f>IF(OR($D13="",UPPER($D13)="WIRELESS"),"",IF(UPPER(LEFT($D13,1))="R","Red",IF(UPPER(LEFT($D13,1))="G","Green",IF(UPPER(LEFT($D13,1))="B","Blue",IF(UPPER(LEFT($D13,1))="O","Orange",""))))&amp;"-"&amp;IFERROR(VALUE(SUBSTITUTE(MID($D13,2,10),"-","")),""))</f>
        <v/>
      </c>
      <c r="Q13" s="11">
        <f>IF(OR($L13="",UPPER($L13)="WIRELESS"),"",IF(UPPER(LEFT($L13,1))="R","Red",IF(UPPER(LEFT($L13,1))="G","Green",IF(UPPER(LEFT($L13,1))="B","Blue",IF(UPPER(LEFT($L13,1))="O","Orange",""))))&amp;"-"&amp;IFERROR(VALUE(SUBSTITUTE(MID($L13,2,10),"-","")),""))</f>
        <v/>
      </c>
    </row>
    <row r="14" ht="19.5" customHeight="1" s="37">
      <c r="A14" s="12" t="n">
        <v>10</v>
      </c>
      <c r="B14" s="13" t="n"/>
      <c r="C14" s="13" t="n"/>
      <c r="D14" s="12" t="n"/>
      <c r="E14" s="13" t="n"/>
      <c r="F14" s="13" t="n"/>
      <c r="G14" s="13" t="n"/>
      <c r="I14" s="12" t="n">
        <v>26</v>
      </c>
      <c r="J14" s="13" t="n"/>
      <c r="K14" s="13" t="n"/>
      <c r="L14" s="12" t="n"/>
      <c r="M14" s="13" t="n"/>
      <c r="N14" s="13" t="n"/>
      <c r="O14" s="13" t="n"/>
      <c r="P14" s="11">
        <f>IF(OR($D14="",UPPER($D14)="WIRELESS"),"",IF(UPPER(LEFT($D14,1))="R","Red",IF(UPPER(LEFT($D14,1))="G","Green",IF(UPPER(LEFT($D14,1))="B","Blue",IF(UPPER(LEFT($D14,1))="O","Orange",""))))&amp;"-"&amp;IFERROR(VALUE(SUBSTITUTE(MID($D14,2,10),"-","")),""))</f>
        <v/>
      </c>
      <c r="Q14" s="11">
        <f>IF(OR($L14="",UPPER($L14)="WIRELESS"),"",IF(UPPER(LEFT($L14,1))="R","Red",IF(UPPER(LEFT($L14,1))="G","Green",IF(UPPER(LEFT($L14,1))="B","Blue",IF(UPPER(LEFT($L14,1))="O","Orange",""))))&amp;"-"&amp;IFERROR(VALUE(SUBSTITUTE(MID($L14,2,10),"-","")),""))</f>
        <v/>
      </c>
    </row>
    <row r="15" ht="19.5" customHeight="1" s="37">
      <c r="A15" s="14" t="n">
        <v>11</v>
      </c>
      <c r="B15" s="15" t="n"/>
      <c r="C15" s="15" t="n"/>
      <c r="D15" s="14" t="n"/>
      <c r="E15" s="15" t="n"/>
      <c r="F15" s="15" t="n"/>
      <c r="G15" s="15" t="n"/>
      <c r="I15" s="14" t="n">
        <v>27</v>
      </c>
      <c r="J15" s="15" t="n"/>
      <c r="K15" s="15" t="n"/>
      <c r="L15" s="14" t="n"/>
      <c r="M15" s="15" t="n"/>
      <c r="N15" s="15" t="n"/>
      <c r="O15" s="15" t="n"/>
      <c r="P15" s="11">
        <f>IF(OR($D15="",UPPER($D15)="WIRELESS"),"",IF(UPPER(LEFT($D15,1))="R","Red",IF(UPPER(LEFT($D15,1))="G","Green",IF(UPPER(LEFT($D15,1))="B","Blue",IF(UPPER(LEFT($D15,1))="O","Orange",""))))&amp;"-"&amp;IFERROR(VALUE(SUBSTITUTE(MID($D15,2,10),"-","")),""))</f>
        <v/>
      </c>
      <c r="Q15" s="11">
        <f>IF(OR($L15="",UPPER($L15)="WIRELESS"),"",IF(UPPER(LEFT($L15,1))="R","Red",IF(UPPER(LEFT($L15,1))="G","Green",IF(UPPER(LEFT($L15,1))="B","Blue",IF(UPPER(LEFT($L15,1))="O","Orange",""))))&amp;"-"&amp;IFERROR(VALUE(SUBSTITUTE(MID($L15,2,10),"-","")),""))</f>
        <v/>
      </c>
    </row>
    <row r="16" ht="19.5" customHeight="1" s="37">
      <c r="A16" s="12" t="n">
        <v>12</v>
      </c>
      <c r="B16" s="13" t="n"/>
      <c r="C16" s="13" t="n"/>
      <c r="D16" s="12" t="n"/>
      <c r="E16" s="13" t="n"/>
      <c r="F16" s="13" t="n"/>
      <c r="G16" s="13" t="n"/>
      <c r="I16" s="12" t="n">
        <v>28</v>
      </c>
      <c r="J16" s="13" t="n"/>
      <c r="K16" s="13" t="n"/>
      <c r="L16" s="12" t="n"/>
      <c r="M16" s="13" t="n"/>
      <c r="N16" s="13" t="n"/>
      <c r="O16" s="13" t="n"/>
      <c r="P16" s="11">
        <f>IF(OR($D16="",UPPER($D16)="WIRELESS"),"",IF(UPPER(LEFT($D16,1))="R","Red",IF(UPPER(LEFT($D16,1))="G","Green",IF(UPPER(LEFT($D16,1))="B","Blue",IF(UPPER(LEFT($D16,1))="O","Orange",""))))&amp;"-"&amp;IFERROR(VALUE(SUBSTITUTE(MID($D16,2,10),"-","")),""))</f>
        <v/>
      </c>
      <c r="Q16" s="11">
        <f>IF(OR($L16="",UPPER($L16)="WIRELESS"),"",IF(UPPER(LEFT($L16,1))="R","Red",IF(UPPER(LEFT($L16,1))="G","Green",IF(UPPER(LEFT($L16,1))="B","Blue",IF(UPPER(LEFT($L16,1))="O","Orange",""))))&amp;"-"&amp;IFERROR(VALUE(SUBSTITUTE(MID($L16,2,10),"-","")),""))</f>
        <v/>
      </c>
    </row>
    <row r="17" ht="19.5" customHeight="1" s="37">
      <c r="A17" s="14" t="n">
        <v>13</v>
      </c>
      <c r="B17" s="15" t="n"/>
      <c r="C17" s="15" t="n"/>
      <c r="D17" s="14" t="n"/>
      <c r="E17" s="15" t="n"/>
      <c r="F17" s="15" t="n"/>
      <c r="G17" s="15" t="n"/>
      <c r="I17" s="14" t="n">
        <v>29</v>
      </c>
      <c r="J17" s="15" t="n"/>
      <c r="K17" s="15" t="n"/>
      <c r="L17" s="14" t="n"/>
      <c r="M17" s="15" t="n"/>
      <c r="N17" s="15" t="n"/>
      <c r="O17" s="15" t="n"/>
      <c r="P17" s="11">
        <f>IF(OR($D17="",UPPER($D17)="WIRELESS"),"",IF(UPPER(LEFT($D17,1))="R","Red",IF(UPPER(LEFT($D17,1))="G","Green",IF(UPPER(LEFT($D17,1))="B","Blue",IF(UPPER(LEFT($D17,1))="O","Orange",""))))&amp;"-"&amp;IFERROR(VALUE(SUBSTITUTE(MID($D17,2,10),"-","")),""))</f>
        <v/>
      </c>
      <c r="Q17" s="11">
        <f>IF(OR($L17="",UPPER($L17)="WIRELESS"),"",IF(UPPER(LEFT($L17,1))="R","Red",IF(UPPER(LEFT($L17,1))="G","Green",IF(UPPER(LEFT($L17,1))="B","Blue",IF(UPPER(LEFT($L17,1))="O","Orange",""))))&amp;"-"&amp;IFERROR(VALUE(SUBSTITUTE(MID($L17,2,10),"-","")),""))</f>
        <v/>
      </c>
    </row>
    <row r="18" ht="19.5" customHeight="1" s="37">
      <c r="A18" s="12" t="n">
        <v>14</v>
      </c>
      <c r="B18" s="13" t="n"/>
      <c r="C18" s="13" t="n"/>
      <c r="D18" s="12" t="n"/>
      <c r="E18" s="13" t="n"/>
      <c r="F18" s="13" t="n"/>
      <c r="G18" s="13" t="n"/>
      <c r="I18" s="12" t="n">
        <v>30</v>
      </c>
      <c r="J18" s="13" t="n"/>
      <c r="K18" s="13" t="n"/>
      <c r="L18" s="12" t="n"/>
      <c r="M18" s="13" t="n"/>
      <c r="N18" s="13" t="n"/>
      <c r="O18" s="13" t="n"/>
      <c r="P18" s="11">
        <f>IF(OR($D18="",UPPER($D18)="WIRELESS"),"",IF(UPPER(LEFT($D18,1))="R","Red",IF(UPPER(LEFT($D18,1))="G","Green",IF(UPPER(LEFT($D18,1))="B","Blue",IF(UPPER(LEFT($D18,1))="O","Orange",""))))&amp;"-"&amp;IFERROR(VALUE(SUBSTITUTE(MID($D18,2,10),"-","")),""))</f>
        <v/>
      </c>
      <c r="Q18" s="11">
        <f>IF(OR($L18="",UPPER($L18)="WIRELESS"),"",IF(UPPER(LEFT($L18,1))="R","Red",IF(UPPER(LEFT($L18,1))="G","Green",IF(UPPER(LEFT($L18,1))="B","Blue",IF(UPPER(LEFT($L18,1))="O","Orange",""))))&amp;"-"&amp;IFERROR(VALUE(SUBSTITUTE(MID($L18,2,10),"-","")),""))</f>
        <v/>
      </c>
    </row>
    <row r="19" ht="19.5" customHeight="1" s="37">
      <c r="A19" s="14" t="n">
        <v>15</v>
      </c>
      <c r="B19" s="15" t="n"/>
      <c r="C19" s="15" t="n"/>
      <c r="D19" s="14" t="n"/>
      <c r="E19" s="15" t="n"/>
      <c r="F19" s="15" t="n"/>
      <c r="G19" s="15" t="n"/>
      <c r="I19" s="14" t="n">
        <v>31</v>
      </c>
      <c r="J19" s="15" t="n"/>
      <c r="K19" s="15" t="n"/>
      <c r="L19" s="14" t="n"/>
      <c r="M19" s="15" t="n"/>
      <c r="N19" s="15" t="n"/>
      <c r="O19" s="15" t="n"/>
      <c r="P19" s="11">
        <f>IF(OR($D19="",UPPER($D19)="WIRELESS"),"",IF(UPPER(LEFT($D19,1))="R","Red",IF(UPPER(LEFT($D19,1))="G","Green",IF(UPPER(LEFT($D19,1))="B","Blue",IF(UPPER(LEFT($D19,1))="O","Orange",""))))&amp;"-"&amp;IFERROR(VALUE(SUBSTITUTE(MID($D19,2,10),"-","")),""))</f>
        <v/>
      </c>
      <c r="Q19" s="11">
        <f>IF(OR($L19="",UPPER($L19)="WIRELESS"),"",IF(UPPER(LEFT($L19,1))="R","Red",IF(UPPER(LEFT($L19,1))="G","Green",IF(UPPER(LEFT($L19,1))="B","Blue",IF(UPPER(LEFT($L19,1))="O","Orange",""))))&amp;"-"&amp;IFERROR(VALUE(SUBSTITUTE(MID($L19,2,10),"-","")),""))</f>
        <v/>
      </c>
    </row>
    <row r="20" ht="19.5" customHeight="1" s="37">
      <c r="A20" s="12" t="n">
        <v>16</v>
      </c>
      <c r="B20" s="13" t="n"/>
      <c r="C20" s="13" t="n"/>
      <c r="D20" s="12" t="n"/>
      <c r="E20" s="13" t="n"/>
      <c r="F20" s="13" t="n"/>
      <c r="G20" s="13" t="n"/>
      <c r="I20" s="12" t="n">
        <v>32</v>
      </c>
      <c r="J20" s="13" t="n"/>
      <c r="K20" s="13" t="n"/>
      <c r="L20" s="12" t="n"/>
      <c r="M20" s="13" t="n"/>
      <c r="N20" s="13" t="n"/>
      <c r="O20" s="13" t="n"/>
      <c r="P20" s="11">
        <f>IF(OR($D20="",UPPER($D20)="WIRELESS"),"",IF(UPPER(LEFT($D20,1))="R","Red",IF(UPPER(LEFT($D20,1))="G","Green",IF(UPPER(LEFT($D20,1))="B","Blue",IF(UPPER(LEFT($D20,1))="O","Orange",""))))&amp;"-"&amp;IFERROR(VALUE(SUBSTITUTE(MID($D20,2,10),"-","")),""))</f>
        <v/>
      </c>
      <c r="Q20" s="11">
        <f>IF(OR($L20="",UPPER($L20)="WIRELESS"),"",IF(UPPER(LEFT($L20,1))="R","Red",IF(UPPER(LEFT($L20,1))="G","Green",IF(UPPER(LEFT($L20,1))="B","Blue",IF(UPPER(LEFT($L20,1))="O","Orange",""))))&amp;"-"&amp;IFERROR(VALUE(SUBSTITUTE(MID($L20,2,10),"-","")),""))</f>
        <v/>
      </c>
    </row>
    <row r="21" ht="15.75" customHeight="1" s="37"/>
    <row r="22" ht="21.75" customHeight="1" s="37">
      <c r="A22" s="40" t="inlineStr">
        <is>
          <t>MIXES / AUX SENDS</t>
        </is>
      </c>
    </row>
    <row r="23" ht="24" customHeight="1" s="37">
      <c r="A23" s="20" t="inlineStr">
        <is>
          <t>Mix 1</t>
        </is>
      </c>
      <c r="B23" s="41" t="n"/>
      <c r="C23" s="42" t="n"/>
      <c r="D23" s="20" t="inlineStr">
        <is>
          <t>Mix 3</t>
        </is>
      </c>
      <c r="E23" s="41" t="n"/>
      <c r="F23" s="42" t="n"/>
      <c r="I23" s="20" t="inlineStr">
        <is>
          <t>Mix 5</t>
        </is>
      </c>
      <c r="J23" s="41" t="n"/>
      <c r="K23" s="42" t="n"/>
      <c r="L23" s="20" t="inlineStr">
        <is>
          <t>Mix 7</t>
        </is>
      </c>
      <c r="M23" s="41" t="n"/>
      <c r="N23" s="42" t="n"/>
    </row>
    <row r="24" ht="24" customHeight="1" s="37">
      <c r="A24" s="20" t="inlineStr">
        <is>
          <t>Mix 2</t>
        </is>
      </c>
      <c r="B24" s="41" t="n"/>
      <c r="C24" s="42" t="n"/>
      <c r="D24" s="20" t="inlineStr">
        <is>
          <t>Mix 4</t>
        </is>
      </c>
      <c r="E24" s="41" t="n"/>
      <c r="F24" s="42" t="n"/>
      <c r="I24" s="20" t="inlineStr">
        <is>
          <t>Mix 6</t>
        </is>
      </c>
      <c r="J24" s="41" t="n"/>
      <c r="K24" s="42" t="n"/>
      <c r="L24" s="20" t="inlineStr">
        <is>
          <t>Mix 8</t>
        </is>
      </c>
      <c r="M24" s="41" t="n"/>
      <c r="N24" s="42" t="n"/>
    </row>
    <row r="25" ht="15.75" customHeight="1" s="37"/>
    <row r="26" ht="18" customHeight="1" s="37">
      <c r="A26" s="43" t="inlineStr">
        <is>
          <t>SNAKE PATCH SHEETS — auto-fills from the channel grid</t>
        </is>
      </c>
    </row>
    <row r="27" ht="15.75" customHeight="1" s="37">
      <c r="A27" s="22" t="inlineStr">
        <is>
          <t>Loc</t>
        </is>
      </c>
      <c r="B27" s="22" t="inlineStr">
        <is>
          <t>Instrument</t>
        </is>
      </c>
      <c r="C27" s="22" t="inlineStr">
        <is>
          <t>Mic/DI</t>
        </is>
      </c>
      <c r="D27" s="23" t="inlineStr">
        <is>
          <t>Loc</t>
        </is>
      </c>
      <c r="E27" s="23" t="inlineStr">
        <is>
          <t>Instrument</t>
        </is>
      </c>
      <c r="F27" s="42" t="n"/>
      <c r="G27" s="23" t="inlineStr">
        <is>
          <t>Mic/DI</t>
        </is>
      </c>
      <c r="I27" s="25" t="inlineStr">
        <is>
          <t>Loc</t>
        </is>
      </c>
      <c r="J27" s="25" t="inlineStr">
        <is>
          <t>Instrument</t>
        </is>
      </c>
      <c r="K27" s="25" t="inlineStr">
        <is>
          <t>Mic/DI</t>
        </is>
      </c>
      <c r="L27" s="26" t="inlineStr">
        <is>
          <t>Loc</t>
        </is>
      </c>
      <c r="M27" s="26" t="inlineStr">
        <is>
          <t>Instrument</t>
        </is>
      </c>
      <c r="N27" s="42" t="n"/>
      <c r="O27" s="26" t="inlineStr">
        <is>
          <t>Mic/DI</t>
        </is>
      </c>
    </row>
    <row r="28" ht="15.75" customHeight="1" s="37">
      <c r="A28" s="28" t="n">
        <v>1</v>
      </c>
      <c r="B28" s="29">
        <f>IFERROR(INDEX($B$5:$B$20,MATCH("Red-"&amp;A28,$P$5:$P$20,0)),IFERROR(INDEX($J$5:$J$20,MATCH("Red-"&amp;A28,$Q$5:$Q$20,0)),""))</f>
        <v/>
      </c>
      <c r="C28" s="29">
        <f>IFERROR(INDEX($C$5:$C$20,MATCH("Red-"&amp;A28,$P$5:$P$20,0)),IFERROR(INDEX($K$5:$K$20,MATCH("Red-"&amp;A28,$Q$5:$Q$20,0)),""))</f>
        <v/>
      </c>
      <c r="D28" s="30" t="n">
        <v>1</v>
      </c>
      <c r="E28" s="29">
        <f>IFERROR(INDEX($B$5:$B$20,MATCH("Green-"&amp;D28,$P$5:$P$20,0)),IFERROR(INDEX($J$5:$J$20,MATCH("Green-"&amp;D28,$Q$5:$Q$20,0)),""))</f>
        <v/>
      </c>
      <c r="F28" s="42" t="n"/>
      <c r="G28" s="29">
        <f>IFERROR(INDEX($C$5:$C$20,MATCH("Green-"&amp;D28,$P$5:$P$20,0)),IFERROR(INDEX($K$5:$K$20,MATCH("Green-"&amp;D28,$Q$5:$Q$20,0)),""))</f>
        <v/>
      </c>
      <c r="I28" s="32" t="n">
        <v>1</v>
      </c>
      <c r="J28" s="29">
        <f>IFERROR(INDEX($B$5:$B$20,MATCH("Blue-"&amp;I28,$P$5:$P$20,0)),IFERROR(INDEX($J$5:$J$20,MATCH("Blue-"&amp;I28,$Q$5:$Q$20,0)),""))</f>
        <v/>
      </c>
      <c r="K28" s="29">
        <f>IFERROR(INDEX($C$5:$C$20,MATCH("Blue-"&amp;I28,$P$5:$P$20,0)),IFERROR(INDEX($K$5:$K$20,MATCH("Blue-"&amp;I28,$Q$5:$Q$20,0)),""))</f>
        <v/>
      </c>
      <c r="L28" s="33" t="n">
        <v>1</v>
      </c>
      <c r="M28" s="29">
        <f>IFERROR(INDEX($B$5:$B$20,MATCH("Orange-"&amp;L28,$P$5:$P$20,0)),IFERROR(INDEX($J$5:$J$20,MATCH("Orange-"&amp;L28,$Q$5:$Q$20,0)),""))</f>
        <v/>
      </c>
      <c r="N28" s="42" t="n"/>
      <c r="O28" s="29">
        <f>IFERROR(INDEX($C$5:$C$20,MATCH("Orange-"&amp;L28,$P$5:$P$20,0)),IFERROR(INDEX($K$5:$K$20,MATCH("Orange-"&amp;L28,$Q$5:$Q$20,0)),""))</f>
        <v/>
      </c>
    </row>
    <row r="29" ht="15.75" customHeight="1" s="37">
      <c r="A29" s="28" t="n">
        <v>2</v>
      </c>
      <c r="B29" s="34">
        <f>IFERROR(INDEX($B$5:$B$20,MATCH("Red-"&amp;A29,$P$5:$P$20,0)),IFERROR(INDEX($J$5:$J$20,MATCH("Red-"&amp;A29,$Q$5:$Q$20,0)),""))</f>
        <v/>
      </c>
      <c r="C29" s="34">
        <f>IFERROR(INDEX($C$5:$C$20,MATCH("Red-"&amp;A29,$P$5:$P$20,0)),IFERROR(INDEX($K$5:$K$20,MATCH("Red-"&amp;A29,$Q$5:$Q$20,0)),""))</f>
        <v/>
      </c>
      <c r="D29" s="30" t="n">
        <v>2</v>
      </c>
      <c r="E29" s="34">
        <f>IFERROR(INDEX($B$5:$B$20,MATCH("Green-"&amp;D29,$P$5:$P$20,0)),IFERROR(INDEX($J$5:$J$20,MATCH("Green-"&amp;D29,$Q$5:$Q$20,0)),""))</f>
        <v/>
      </c>
      <c r="F29" s="42" t="n"/>
      <c r="G29" s="34">
        <f>IFERROR(INDEX($C$5:$C$20,MATCH("Green-"&amp;D29,$P$5:$P$20,0)),IFERROR(INDEX($K$5:$K$20,MATCH("Green-"&amp;D29,$Q$5:$Q$20,0)),""))</f>
        <v/>
      </c>
      <c r="I29" s="32" t="n">
        <v>2</v>
      </c>
      <c r="J29" s="34">
        <f>IFERROR(INDEX($B$5:$B$20,MATCH("Blue-"&amp;I29,$P$5:$P$20,0)),IFERROR(INDEX($J$5:$J$20,MATCH("Blue-"&amp;I29,$Q$5:$Q$20,0)),""))</f>
        <v/>
      </c>
      <c r="K29" s="34">
        <f>IFERROR(INDEX($C$5:$C$20,MATCH("Blue-"&amp;I29,$P$5:$P$20,0)),IFERROR(INDEX($K$5:$K$20,MATCH("Blue-"&amp;I29,$Q$5:$Q$20,0)),""))</f>
        <v/>
      </c>
      <c r="L29" s="33" t="n">
        <v>2</v>
      </c>
      <c r="M29" s="34">
        <f>IFERROR(INDEX($B$5:$B$20,MATCH("Orange-"&amp;L29,$P$5:$P$20,0)),IFERROR(INDEX($J$5:$J$20,MATCH("Orange-"&amp;L29,$Q$5:$Q$20,0)),""))</f>
        <v/>
      </c>
      <c r="N29" s="42" t="n"/>
      <c r="O29" s="34">
        <f>IFERROR(INDEX($C$5:$C$20,MATCH("Orange-"&amp;L29,$P$5:$P$20,0)),IFERROR(INDEX($K$5:$K$20,MATCH("Orange-"&amp;L29,$Q$5:$Q$20,0)),""))</f>
        <v/>
      </c>
    </row>
    <row r="30" ht="15.75" customHeight="1" s="37">
      <c r="A30" s="28" t="n">
        <v>3</v>
      </c>
      <c r="B30" s="29">
        <f>IFERROR(INDEX($B$5:$B$20,MATCH("Red-"&amp;A30,$P$5:$P$20,0)),IFERROR(INDEX($J$5:$J$20,MATCH("Red-"&amp;A30,$Q$5:$Q$20,0)),""))</f>
        <v/>
      </c>
      <c r="C30" s="29">
        <f>IFERROR(INDEX($C$5:$C$20,MATCH("Red-"&amp;A30,$P$5:$P$20,0)),IFERROR(INDEX($K$5:$K$20,MATCH("Red-"&amp;A30,$Q$5:$Q$20,0)),""))</f>
        <v/>
      </c>
      <c r="D30" s="30" t="n">
        <v>3</v>
      </c>
      <c r="E30" s="29">
        <f>IFERROR(INDEX($B$5:$B$20,MATCH("Green-"&amp;D30,$P$5:$P$20,0)),IFERROR(INDEX($J$5:$J$20,MATCH("Green-"&amp;D30,$Q$5:$Q$20,0)),""))</f>
        <v/>
      </c>
      <c r="F30" s="42" t="n"/>
      <c r="G30" s="29">
        <f>IFERROR(INDEX($C$5:$C$20,MATCH("Green-"&amp;D30,$P$5:$P$20,0)),IFERROR(INDEX($K$5:$K$20,MATCH("Green-"&amp;D30,$Q$5:$Q$20,0)),""))</f>
        <v/>
      </c>
      <c r="I30" s="32" t="n">
        <v>3</v>
      </c>
      <c r="J30" s="29">
        <f>IFERROR(INDEX($B$5:$B$20,MATCH("Blue-"&amp;I30,$P$5:$P$20,0)),IFERROR(INDEX($J$5:$J$20,MATCH("Blue-"&amp;I30,$Q$5:$Q$20,0)),""))</f>
        <v/>
      </c>
      <c r="K30" s="29">
        <f>IFERROR(INDEX($C$5:$C$20,MATCH("Blue-"&amp;I30,$P$5:$P$20,0)),IFERROR(INDEX($K$5:$K$20,MATCH("Blue-"&amp;I30,$Q$5:$Q$20,0)),""))</f>
        <v/>
      </c>
      <c r="L30" s="33" t="n">
        <v>3</v>
      </c>
      <c r="M30" s="29">
        <f>IFERROR(INDEX($B$5:$B$20,MATCH("Orange-"&amp;L30,$P$5:$P$20,0)),IFERROR(INDEX($J$5:$J$20,MATCH("Orange-"&amp;L30,$Q$5:$Q$20,0)),""))</f>
        <v/>
      </c>
      <c r="N30" s="42" t="n"/>
      <c r="O30" s="29">
        <f>IFERROR(INDEX($C$5:$C$20,MATCH("Orange-"&amp;L30,$P$5:$P$20,0)),IFERROR(INDEX($K$5:$K$20,MATCH("Orange-"&amp;L30,$Q$5:$Q$20,0)),""))</f>
        <v/>
      </c>
    </row>
    <row r="31" ht="15.75" customHeight="1" s="37">
      <c r="A31" s="28" t="n">
        <v>4</v>
      </c>
      <c r="B31" s="34">
        <f>IFERROR(INDEX($B$5:$B$20,MATCH("Red-"&amp;A31,$P$5:$P$20,0)),IFERROR(INDEX($J$5:$J$20,MATCH("Red-"&amp;A31,$Q$5:$Q$20,0)),""))</f>
        <v/>
      </c>
      <c r="C31" s="34">
        <f>IFERROR(INDEX($C$5:$C$20,MATCH("Red-"&amp;A31,$P$5:$P$20,0)),IFERROR(INDEX($K$5:$K$20,MATCH("Red-"&amp;A31,$Q$5:$Q$20,0)),""))</f>
        <v/>
      </c>
      <c r="D31" s="30" t="n">
        <v>4</v>
      </c>
      <c r="E31" s="34">
        <f>IFERROR(INDEX($B$5:$B$20,MATCH("Green-"&amp;D31,$P$5:$P$20,0)),IFERROR(INDEX($J$5:$J$20,MATCH("Green-"&amp;D31,$Q$5:$Q$20,0)),""))</f>
        <v/>
      </c>
      <c r="F31" s="42" t="n"/>
      <c r="G31" s="34">
        <f>IFERROR(INDEX($C$5:$C$20,MATCH("Green-"&amp;D31,$P$5:$P$20,0)),IFERROR(INDEX($K$5:$K$20,MATCH("Green-"&amp;D31,$Q$5:$Q$20,0)),""))</f>
        <v/>
      </c>
      <c r="I31" s="32" t="n">
        <v>4</v>
      </c>
      <c r="J31" s="34">
        <f>IFERROR(INDEX($B$5:$B$20,MATCH("Blue-"&amp;I31,$P$5:$P$20,0)),IFERROR(INDEX($J$5:$J$20,MATCH("Blue-"&amp;I31,$Q$5:$Q$20,0)),""))</f>
        <v/>
      </c>
      <c r="K31" s="34">
        <f>IFERROR(INDEX($C$5:$C$20,MATCH("Blue-"&amp;I31,$P$5:$P$20,0)),IFERROR(INDEX($K$5:$K$20,MATCH("Blue-"&amp;I31,$Q$5:$Q$20,0)),""))</f>
        <v/>
      </c>
      <c r="L31" s="33" t="n">
        <v>4</v>
      </c>
      <c r="M31" s="34">
        <f>IFERROR(INDEX($B$5:$B$20,MATCH("Orange-"&amp;L31,$P$5:$P$20,0)),IFERROR(INDEX($J$5:$J$20,MATCH("Orange-"&amp;L31,$Q$5:$Q$20,0)),""))</f>
        <v/>
      </c>
      <c r="N31" s="42" t="n"/>
      <c r="O31" s="34">
        <f>IFERROR(INDEX($C$5:$C$20,MATCH("Orange-"&amp;L31,$P$5:$P$20,0)),IFERROR(INDEX($K$5:$K$20,MATCH("Orange-"&amp;L31,$Q$5:$Q$20,0)),""))</f>
        <v/>
      </c>
    </row>
    <row r="32" ht="15.75" customHeight="1" s="37">
      <c r="A32" s="28" t="n">
        <v>5</v>
      </c>
      <c r="B32" s="29">
        <f>IFERROR(INDEX($B$5:$B$20,MATCH("Red-"&amp;A32,$P$5:$P$20,0)),IFERROR(INDEX($J$5:$J$20,MATCH("Red-"&amp;A32,$Q$5:$Q$20,0)),""))</f>
        <v/>
      </c>
      <c r="C32" s="29">
        <f>IFERROR(INDEX($C$5:$C$20,MATCH("Red-"&amp;A32,$P$5:$P$20,0)),IFERROR(INDEX($K$5:$K$20,MATCH("Red-"&amp;A32,$Q$5:$Q$20,0)),""))</f>
        <v/>
      </c>
      <c r="D32" s="30" t="n">
        <v>5</v>
      </c>
      <c r="E32" s="29">
        <f>IFERROR(INDEX($B$5:$B$20,MATCH("Green-"&amp;D32,$P$5:$P$20,0)),IFERROR(INDEX($J$5:$J$20,MATCH("Green-"&amp;D32,$Q$5:$Q$20,0)),""))</f>
        <v/>
      </c>
      <c r="F32" s="42" t="n"/>
      <c r="G32" s="29">
        <f>IFERROR(INDEX($C$5:$C$20,MATCH("Green-"&amp;D32,$P$5:$P$20,0)),IFERROR(INDEX($K$5:$K$20,MATCH("Green-"&amp;D32,$Q$5:$Q$20,0)),""))</f>
        <v/>
      </c>
      <c r="I32" s="32" t="n">
        <v>5</v>
      </c>
      <c r="J32" s="29">
        <f>IFERROR(INDEX($B$5:$B$20,MATCH("Blue-"&amp;I32,$P$5:$P$20,0)),IFERROR(INDEX($J$5:$J$20,MATCH("Blue-"&amp;I32,$Q$5:$Q$20,0)),""))</f>
        <v/>
      </c>
      <c r="K32" s="29">
        <f>IFERROR(INDEX($C$5:$C$20,MATCH("Blue-"&amp;I32,$P$5:$P$20,0)),IFERROR(INDEX($K$5:$K$20,MATCH("Blue-"&amp;I32,$Q$5:$Q$20,0)),""))</f>
        <v/>
      </c>
      <c r="L32" s="33" t="n">
        <v>5</v>
      </c>
      <c r="M32" s="29">
        <f>IFERROR(INDEX($B$5:$B$20,MATCH("Orange-"&amp;L32,$P$5:$P$20,0)),IFERROR(INDEX($J$5:$J$20,MATCH("Orange-"&amp;L32,$Q$5:$Q$20,0)),""))</f>
        <v/>
      </c>
      <c r="N32" s="42" t="n"/>
      <c r="O32" s="29">
        <f>IFERROR(INDEX($C$5:$C$20,MATCH("Orange-"&amp;L32,$P$5:$P$20,0)),IFERROR(INDEX($K$5:$K$20,MATCH("Orange-"&amp;L32,$Q$5:$Q$20,0)),""))</f>
        <v/>
      </c>
    </row>
    <row r="33" ht="15.75" customHeight="1" s="37">
      <c r="A33" s="28" t="n">
        <v>6</v>
      </c>
      <c r="B33" s="34">
        <f>IFERROR(INDEX($B$5:$B$20,MATCH("Red-"&amp;A33,$P$5:$P$20,0)),IFERROR(INDEX($J$5:$J$20,MATCH("Red-"&amp;A33,$Q$5:$Q$20,0)),""))</f>
        <v/>
      </c>
      <c r="C33" s="34">
        <f>IFERROR(INDEX($C$5:$C$20,MATCH("Red-"&amp;A33,$P$5:$P$20,0)),IFERROR(INDEX($K$5:$K$20,MATCH("Red-"&amp;A33,$Q$5:$Q$20,0)),""))</f>
        <v/>
      </c>
      <c r="D33" s="30" t="n">
        <v>6</v>
      </c>
      <c r="E33" s="34">
        <f>IFERROR(INDEX($B$5:$B$20,MATCH("Green-"&amp;D33,$P$5:$P$20,0)),IFERROR(INDEX($J$5:$J$20,MATCH("Green-"&amp;D33,$Q$5:$Q$20,0)),""))</f>
        <v/>
      </c>
      <c r="F33" s="42" t="n"/>
      <c r="G33" s="34">
        <f>IFERROR(INDEX($C$5:$C$20,MATCH("Green-"&amp;D33,$P$5:$P$20,0)),IFERROR(INDEX($K$5:$K$20,MATCH("Green-"&amp;D33,$Q$5:$Q$20,0)),""))</f>
        <v/>
      </c>
      <c r="I33" s="32" t="n">
        <v>6</v>
      </c>
      <c r="J33" s="34">
        <f>IFERROR(INDEX($B$5:$B$20,MATCH("Blue-"&amp;I33,$P$5:$P$20,0)),IFERROR(INDEX($J$5:$J$20,MATCH("Blue-"&amp;I33,$Q$5:$Q$20,0)),""))</f>
        <v/>
      </c>
      <c r="K33" s="34">
        <f>IFERROR(INDEX($C$5:$C$20,MATCH("Blue-"&amp;I33,$P$5:$P$20,0)),IFERROR(INDEX($K$5:$K$20,MATCH("Blue-"&amp;I33,$Q$5:$Q$20,0)),""))</f>
        <v/>
      </c>
      <c r="L33" s="33" t="n">
        <v>6</v>
      </c>
      <c r="M33" s="34">
        <f>IFERROR(INDEX($B$5:$B$20,MATCH("Orange-"&amp;L33,$P$5:$P$20,0)),IFERROR(INDEX($J$5:$J$20,MATCH("Orange-"&amp;L33,$Q$5:$Q$20,0)),""))</f>
        <v/>
      </c>
      <c r="N33" s="42" t="n"/>
      <c r="O33" s="34">
        <f>IFERROR(INDEX($C$5:$C$20,MATCH("Orange-"&amp;L33,$P$5:$P$20,0)),IFERROR(INDEX($K$5:$K$20,MATCH("Orange-"&amp;L33,$Q$5:$Q$20,0)),""))</f>
        <v/>
      </c>
    </row>
    <row r="34" ht="15.75" customHeight="1" s="37">
      <c r="A34" s="28" t="n">
        <v>7</v>
      </c>
      <c r="B34" s="29">
        <f>IFERROR(INDEX($B$5:$B$20,MATCH("Red-"&amp;A34,$P$5:$P$20,0)),IFERROR(INDEX($J$5:$J$20,MATCH("Red-"&amp;A34,$Q$5:$Q$20,0)),""))</f>
        <v/>
      </c>
      <c r="C34" s="29">
        <f>IFERROR(INDEX($C$5:$C$20,MATCH("Red-"&amp;A34,$P$5:$P$20,0)),IFERROR(INDEX($K$5:$K$20,MATCH("Red-"&amp;A34,$Q$5:$Q$20,0)),""))</f>
        <v/>
      </c>
      <c r="D34" s="30" t="n">
        <v>7</v>
      </c>
      <c r="E34" s="29">
        <f>IFERROR(INDEX($B$5:$B$20,MATCH("Green-"&amp;D34,$P$5:$P$20,0)),IFERROR(INDEX($J$5:$J$20,MATCH("Green-"&amp;D34,$Q$5:$Q$20,0)),""))</f>
        <v/>
      </c>
      <c r="F34" s="42" t="n"/>
      <c r="G34" s="29">
        <f>IFERROR(INDEX($C$5:$C$20,MATCH("Green-"&amp;D34,$P$5:$P$20,0)),IFERROR(INDEX($K$5:$K$20,MATCH("Green-"&amp;D34,$Q$5:$Q$20,0)),""))</f>
        <v/>
      </c>
      <c r="I34" s="32" t="n">
        <v>7</v>
      </c>
      <c r="J34" s="29">
        <f>IFERROR(INDEX($B$5:$B$20,MATCH("Blue-"&amp;I34,$P$5:$P$20,0)),IFERROR(INDEX($J$5:$J$20,MATCH("Blue-"&amp;I34,$Q$5:$Q$20,0)),""))</f>
        <v/>
      </c>
      <c r="K34" s="29">
        <f>IFERROR(INDEX($C$5:$C$20,MATCH("Blue-"&amp;I34,$P$5:$P$20,0)),IFERROR(INDEX($K$5:$K$20,MATCH("Blue-"&amp;I34,$Q$5:$Q$20,0)),""))</f>
        <v/>
      </c>
      <c r="L34" s="33" t="n">
        <v>7</v>
      </c>
      <c r="M34" s="29">
        <f>IFERROR(INDEX($B$5:$B$20,MATCH("Orange-"&amp;L34,$P$5:$P$20,0)),IFERROR(INDEX($J$5:$J$20,MATCH("Orange-"&amp;L34,$Q$5:$Q$20,0)),""))</f>
        <v/>
      </c>
      <c r="N34" s="42" t="n"/>
      <c r="O34" s="29">
        <f>IFERROR(INDEX($C$5:$C$20,MATCH("Orange-"&amp;L34,$P$5:$P$20,0)),IFERROR(INDEX($K$5:$K$20,MATCH("Orange-"&amp;L34,$Q$5:$Q$20,0)),""))</f>
        <v/>
      </c>
    </row>
    <row r="35" ht="15.75" customHeight="1" s="37">
      <c r="A35" s="28" t="n">
        <v>8</v>
      </c>
      <c r="B35" s="34">
        <f>IFERROR(INDEX($B$5:$B$20,MATCH("Red-"&amp;A35,$P$5:$P$20,0)),IFERROR(INDEX($J$5:$J$20,MATCH("Red-"&amp;A35,$Q$5:$Q$20,0)),""))</f>
        <v/>
      </c>
      <c r="C35" s="34">
        <f>IFERROR(INDEX($C$5:$C$20,MATCH("Red-"&amp;A35,$P$5:$P$20,0)),IFERROR(INDEX($K$5:$K$20,MATCH("Red-"&amp;A35,$Q$5:$Q$20,0)),""))</f>
        <v/>
      </c>
      <c r="D35" s="30" t="n">
        <v>8</v>
      </c>
      <c r="E35" s="34">
        <f>IFERROR(INDEX($B$5:$B$20,MATCH("Green-"&amp;D35,$P$5:$P$20,0)),IFERROR(INDEX($J$5:$J$20,MATCH("Green-"&amp;D35,$Q$5:$Q$20,0)),""))</f>
        <v/>
      </c>
      <c r="F35" s="42" t="n"/>
      <c r="G35" s="34">
        <f>IFERROR(INDEX($C$5:$C$20,MATCH("Green-"&amp;D35,$P$5:$P$20,0)),IFERROR(INDEX($K$5:$K$20,MATCH("Green-"&amp;D35,$Q$5:$Q$20,0)),""))</f>
        <v/>
      </c>
      <c r="I35" s="32" t="n">
        <v>8</v>
      </c>
      <c r="J35" s="34">
        <f>IFERROR(INDEX($B$5:$B$20,MATCH("Blue-"&amp;I35,$P$5:$P$20,0)),IFERROR(INDEX($J$5:$J$20,MATCH("Blue-"&amp;I35,$Q$5:$Q$20,0)),""))</f>
        <v/>
      </c>
      <c r="K35" s="34">
        <f>IFERROR(INDEX($C$5:$C$20,MATCH("Blue-"&amp;I35,$P$5:$P$20,0)),IFERROR(INDEX($K$5:$K$20,MATCH("Blue-"&amp;I35,$Q$5:$Q$20,0)),""))</f>
        <v/>
      </c>
      <c r="L35" s="33" t="n">
        <v>8</v>
      </c>
      <c r="M35" s="34">
        <f>IFERROR(INDEX($B$5:$B$20,MATCH("Orange-"&amp;L35,$P$5:$P$20,0)),IFERROR(INDEX($J$5:$J$20,MATCH("Orange-"&amp;L35,$Q$5:$Q$20,0)),""))</f>
        <v/>
      </c>
      <c r="N35" s="42" t="n"/>
      <c r="O35" s="34">
        <f>IFERROR(INDEX($C$5:$C$20,MATCH("Orange-"&amp;L35,$P$5:$P$20,0)),IFERROR(INDEX($K$5:$K$20,MATCH("Orange-"&amp;L35,$Q$5:$Q$20,0)),""))</f>
        <v/>
      </c>
    </row>
    <row r="36" ht="15.75" customHeight="1" s="37">
      <c r="A36" s="28" t="n">
        <v>9</v>
      </c>
      <c r="B36" s="29">
        <f>IFERROR(INDEX($B$5:$B$20,MATCH("Red-"&amp;A36,$P$5:$P$20,0)),IFERROR(INDEX($J$5:$J$20,MATCH("Red-"&amp;A36,$Q$5:$Q$20,0)),""))</f>
        <v/>
      </c>
      <c r="C36" s="29">
        <f>IFERROR(INDEX($C$5:$C$20,MATCH("Red-"&amp;A36,$P$5:$P$20,0)),IFERROR(INDEX($K$5:$K$20,MATCH("Red-"&amp;A36,$Q$5:$Q$20,0)),""))</f>
        <v/>
      </c>
      <c r="D36" s="30" t="n">
        <v>9</v>
      </c>
      <c r="E36" s="29">
        <f>IFERROR(INDEX($B$5:$B$20,MATCH("Green-"&amp;D36,$P$5:$P$20,0)),IFERROR(INDEX($J$5:$J$20,MATCH("Green-"&amp;D36,$Q$5:$Q$20,0)),""))</f>
        <v/>
      </c>
      <c r="F36" s="42" t="n"/>
      <c r="G36" s="29">
        <f>IFERROR(INDEX($C$5:$C$20,MATCH("Green-"&amp;D36,$P$5:$P$20,0)),IFERROR(INDEX($K$5:$K$20,MATCH("Green-"&amp;D36,$Q$5:$Q$20,0)),""))</f>
        <v/>
      </c>
      <c r="I36" s="32" t="n">
        <v>9</v>
      </c>
      <c r="J36" s="29">
        <f>IFERROR(INDEX($B$5:$B$20,MATCH("Blue-"&amp;I36,$P$5:$P$20,0)),IFERROR(INDEX($J$5:$J$20,MATCH("Blue-"&amp;I36,$Q$5:$Q$20,0)),""))</f>
        <v/>
      </c>
      <c r="K36" s="29">
        <f>IFERROR(INDEX($C$5:$C$20,MATCH("Blue-"&amp;I36,$P$5:$P$20,0)),IFERROR(INDEX($K$5:$K$20,MATCH("Blue-"&amp;I36,$Q$5:$Q$20,0)),""))</f>
        <v/>
      </c>
      <c r="L36" s="33" t="n">
        <v>9</v>
      </c>
      <c r="M36" s="29">
        <f>IFERROR(INDEX($B$5:$B$20,MATCH("Orange-"&amp;L36,$P$5:$P$20,0)),IFERROR(INDEX($J$5:$J$20,MATCH("Orange-"&amp;L36,$Q$5:$Q$20,0)),""))</f>
        <v/>
      </c>
      <c r="N36" s="42" t="n"/>
      <c r="O36" s="29">
        <f>IFERROR(INDEX($C$5:$C$20,MATCH("Orange-"&amp;L36,$P$5:$P$20,0)),IFERROR(INDEX($K$5:$K$20,MATCH("Orange-"&amp;L36,$Q$5:$Q$20,0)),""))</f>
        <v/>
      </c>
    </row>
    <row r="37" ht="15.75" customHeight="1" s="37">
      <c r="A37" s="28" t="n">
        <v>10</v>
      </c>
      <c r="B37" s="34">
        <f>IFERROR(INDEX($B$5:$B$20,MATCH("Red-"&amp;A37,$P$5:$P$20,0)),IFERROR(INDEX($J$5:$J$20,MATCH("Red-"&amp;A37,$Q$5:$Q$20,0)),""))</f>
        <v/>
      </c>
      <c r="C37" s="34">
        <f>IFERROR(INDEX($C$5:$C$20,MATCH("Red-"&amp;A37,$P$5:$P$20,0)),IFERROR(INDEX($K$5:$K$20,MATCH("Red-"&amp;A37,$Q$5:$Q$20,0)),""))</f>
        <v/>
      </c>
      <c r="D37" s="30" t="n">
        <v>10</v>
      </c>
      <c r="E37" s="34">
        <f>IFERROR(INDEX($B$5:$B$20,MATCH("Green-"&amp;D37,$P$5:$P$20,0)),IFERROR(INDEX($J$5:$J$20,MATCH("Green-"&amp;D37,$Q$5:$Q$20,0)),""))</f>
        <v/>
      </c>
      <c r="F37" s="42" t="n"/>
      <c r="G37" s="34">
        <f>IFERROR(INDEX($C$5:$C$20,MATCH("Green-"&amp;D37,$P$5:$P$20,0)),IFERROR(INDEX($K$5:$K$20,MATCH("Green-"&amp;D37,$Q$5:$Q$20,0)),""))</f>
        <v/>
      </c>
      <c r="I37" s="32" t="n">
        <v>10</v>
      </c>
      <c r="J37" s="34">
        <f>IFERROR(INDEX($B$5:$B$20,MATCH("Blue-"&amp;I37,$P$5:$P$20,0)),IFERROR(INDEX($J$5:$J$20,MATCH("Blue-"&amp;I37,$Q$5:$Q$20,0)),""))</f>
        <v/>
      </c>
      <c r="K37" s="34">
        <f>IFERROR(INDEX($C$5:$C$20,MATCH("Blue-"&amp;I37,$P$5:$P$20,0)),IFERROR(INDEX($K$5:$K$20,MATCH("Blue-"&amp;I37,$Q$5:$Q$20,0)),""))</f>
        <v/>
      </c>
      <c r="L37" s="33" t="n">
        <v>10</v>
      </c>
      <c r="M37" s="34">
        <f>IFERROR(INDEX($B$5:$B$20,MATCH("Orange-"&amp;L37,$P$5:$P$20,0)),IFERROR(INDEX($J$5:$J$20,MATCH("Orange-"&amp;L37,$Q$5:$Q$20,0)),""))</f>
        <v/>
      </c>
      <c r="N37" s="42" t="n"/>
      <c r="O37" s="34">
        <f>IFERROR(INDEX($C$5:$C$20,MATCH("Orange-"&amp;L37,$P$5:$P$20,0)),IFERROR(INDEX($K$5:$K$20,MATCH("Orange-"&amp;L37,$Q$5:$Q$20,0)),""))</f>
        <v/>
      </c>
    </row>
    <row r="38" ht="15.75" customHeight="1" s="37">
      <c r="A38" s="28" t="n">
        <v>11</v>
      </c>
      <c r="B38" s="29">
        <f>IFERROR(INDEX($B$5:$B$20,MATCH("Red-"&amp;A38,$P$5:$P$20,0)),IFERROR(INDEX($J$5:$J$20,MATCH("Red-"&amp;A38,$Q$5:$Q$20,0)),""))</f>
        <v/>
      </c>
      <c r="C38" s="29">
        <f>IFERROR(INDEX($C$5:$C$20,MATCH("Red-"&amp;A38,$P$5:$P$20,0)),IFERROR(INDEX($K$5:$K$20,MATCH("Red-"&amp;A38,$Q$5:$Q$20,0)),""))</f>
        <v/>
      </c>
      <c r="D38" s="30" t="n">
        <v>11</v>
      </c>
      <c r="E38" s="29">
        <f>IFERROR(INDEX($B$5:$B$20,MATCH("Green-"&amp;D38,$P$5:$P$20,0)),IFERROR(INDEX($J$5:$J$20,MATCH("Green-"&amp;D38,$Q$5:$Q$20,0)),""))</f>
        <v/>
      </c>
      <c r="F38" s="42" t="n"/>
      <c r="G38" s="29">
        <f>IFERROR(INDEX($C$5:$C$20,MATCH("Green-"&amp;D38,$P$5:$P$20,0)),IFERROR(INDEX($K$5:$K$20,MATCH("Green-"&amp;D38,$Q$5:$Q$20,0)),""))</f>
        <v/>
      </c>
      <c r="I38" s="32" t="n">
        <v>11</v>
      </c>
      <c r="J38" s="29">
        <f>IFERROR(INDEX($B$5:$B$20,MATCH("Blue-"&amp;I38,$P$5:$P$20,0)),IFERROR(INDEX($J$5:$J$20,MATCH("Blue-"&amp;I38,$Q$5:$Q$20,0)),""))</f>
        <v/>
      </c>
      <c r="K38" s="29">
        <f>IFERROR(INDEX($C$5:$C$20,MATCH("Blue-"&amp;I38,$P$5:$P$20,0)),IFERROR(INDEX($K$5:$K$20,MATCH("Blue-"&amp;I38,$Q$5:$Q$20,0)),""))</f>
        <v/>
      </c>
      <c r="L38" s="33" t="n">
        <v>11</v>
      </c>
      <c r="M38" s="29">
        <f>IFERROR(INDEX($B$5:$B$20,MATCH("Orange-"&amp;L38,$P$5:$P$20,0)),IFERROR(INDEX($J$5:$J$20,MATCH("Orange-"&amp;L38,$Q$5:$Q$20,0)),""))</f>
        <v/>
      </c>
      <c r="N38" s="42" t="n"/>
      <c r="O38" s="29">
        <f>IFERROR(INDEX($C$5:$C$20,MATCH("Orange-"&amp;L38,$P$5:$P$20,0)),IFERROR(INDEX($K$5:$K$20,MATCH("Orange-"&amp;L38,$Q$5:$Q$20,0)),""))</f>
        <v/>
      </c>
    </row>
    <row r="39" ht="15.75" customHeight="1" s="37">
      <c r="A39" s="28" t="n">
        <v>12</v>
      </c>
      <c r="B39" s="34">
        <f>IFERROR(INDEX($B$5:$B$20,MATCH("Red-"&amp;A39,$P$5:$P$20,0)),IFERROR(INDEX($J$5:$J$20,MATCH("Red-"&amp;A39,$Q$5:$Q$20,0)),""))</f>
        <v/>
      </c>
      <c r="C39" s="34">
        <f>IFERROR(INDEX($C$5:$C$20,MATCH("Red-"&amp;A39,$P$5:$P$20,0)),IFERROR(INDEX($K$5:$K$20,MATCH("Red-"&amp;A39,$Q$5:$Q$20,0)),""))</f>
        <v/>
      </c>
      <c r="D39" s="30" t="n">
        <v>12</v>
      </c>
      <c r="E39" s="34">
        <f>IFERROR(INDEX($B$5:$B$20,MATCH("Green-"&amp;D39,$P$5:$P$20,0)),IFERROR(INDEX($J$5:$J$20,MATCH("Green-"&amp;D39,$Q$5:$Q$20,0)),""))</f>
        <v/>
      </c>
      <c r="F39" s="42" t="n"/>
      <c r="G39" s="34">
        <f>IFERROR(INDEX($C$5:$C$20,MATCH("Green-"&amp;D39,$P$5:$P$20,0)),IFERROR(INDEX($K$5:$K$20,MATCH("Green-"&amp;D39,$Q$5:$Q$20,0)),""))</f>
        <v/>
      </c>
      <c r="I39" s="32" t="n">
        <v>12</v>
      </c>
      <c r="J39" s="34">
        <f>IFERROR(INDEX($B$5:$B$20,MATCH("Blue-"&amp;I39,$P$5:$P$20,0)),IFERROR(INDEX($J$5:$J$20,MATCH("Blue-"&amp;I39,$Q$5:$Q$20,0)),""))</f>
        <v/>
      </c>
      <c r="K39" s="34">
        <f>IFERROR(INDEX($C$5:$C$20,MATCH("Blue-"&amp;I39,$P$5:$P$20,0)),IFERROR(INDEX($K$5:$K$20,MATCH("Blue-"&amp;I39,$Q$5:$Q$20,0)),""))</f>
        <v/>
      </c>
      <c r="L39" s="33" t="n">
        <v>12</v>
      </c>
      <c r="M39" s="34">
        <f>IFERROR(INDEX($B$5:$B$20,MATCH("Orange-"&amp;L39,$P$5:$P$20,0)),IFERROR(INDEX($J$5:$J$20,MATCH("Orange-"&amp;L39,$Q$5:$Q$20,0)),""))</f>
        <v/>
      </c>
      <c r="N39" s="42" t="n"/>
      <c r="O39" s="34">
        <f>IFERROR(INDEX($C$5:$C$20,MATCH("Orange-"&amp;L39,$P$5:$P$20,0)),IFERROR(INDEX($K$5:$K$20,MATCH("Orange-"&amp;L39,$Q$5:$Q$20,0)),""))</f>
        <v/>
      </c>
    </row>
    <row r="40" ht="15.75" customHeight="1" s="37">
      <c r="A40" s="28" t="n">
        <v>13</v>
      </c>
      <c r="B40" s="29">
        <f>IFERROR(INDEX($B$5:$B$20,MATCH("Red-"&amp;A40,$P$5:$P$20,0)),IFERROR(INDEX($J$5:$J$20,MATCH("Red-"&amp;A40,$Q$5:$Q$20,0)),""))</f>
        <v/>
      </c>
      <c r="C40" s="29">
        <f>IFERROR(INDEX($C$5:$C$20,MATCH("Red-"&amp;A40,$P$5:$P$20,0)),IFERROR(INDEX($K$5:$K$20,MATCH("Red-"&amp;A40,$Q$5:$Q$20,0)),""))</f>
        <v/>
      </c>
      <c r="D40" s="44" t="inlineStr">
        <is>
          <t>Wireless 1</t>
        </is>
      </c>
      <c r="E40" s="45" t="inlineStr"/>
      <c r="F40" s="46" t="n"/>
      <c r="G40" s="46" t="n"/>
    </row>
    <row r="41" ht="15.75" customHeight="1" s="37">
      <c r="A41" s="28" t="n">
        <v>14</v>
      </c>
      <c r="B41" s="34">
        <f>IFERROR(INDEX($B$5:$B$20,MATCH("Red-"&amp;A41,$P$5:$P$20,0)),IFERROR(INDEX($J$5:$J$20,MATCH("Red-"&amp;A41,$Q$5:$Q$20,0)),""))</f>
        <v/>
      </c>
      <c r="C41" s="34">
        <f>IFERROR(INDEX($C$5:$C$20,MATCH("Red-"&amp;A41,$P$5:$P$20,0)),IFERROR(INDEX($K$5:$K$20,MATCH("Red-"&amp;A41,$Q$5:$Q$20,0)),""))</f>
        <v/>
      </c>
      <c r="D41" s="44" t="inlineStr">
        <is>
          <t>Wireless 2</t>
        </is>
      </c>
      <c r="E41" s="45" t="inlineStr"/>
      <c r="F41" s="46" t="n"/>
      <c r="G41" s="46" t="n"/>
    </row>
    <row r="42" ht="15.75" customHeight="1" s="37">
      <c r="A42" s="28" t="n">
        <v>15</v>
      </c>
      <c r="B42" s="29">
        <f>IFERROR(INDEX($B$5:$B$20,MATCH("Red-"&amp;A42,$P$5:$P$20,0)),IFERROR(INDEX($J$5:$J$20,MATCH("Red-"&amp;A42,$Q$5:$Q$20,0)),""))</f>
        <v/>
      </c>
      <c r="C42" s="29">
        <f>IFERROR(INDEX($C$5:$C$20,MATCH("Red-"&amp;A42,$P$5:$P$20,0)),IFERROR(INDEX($K$5:$K$20,MATCH("Red-"&amp;A42,$Q$5:$Q$20,0)),""))</f>
        <v/>
      </c>
      <c r="D42" s="44" t="inlineStr">
        <is>
          <t>Wireless 3</t>
        </is>
      </c>
      <c r="E42" s="45" t="inlineStr"/>
      <c r="F42" s="46" t="n"/>
      <c r="G42" s="46" t="n"/>
    </row>
    <row r="43" ht="15.75" customHeight="1" s="37">
      <c r="A43" s="28" t="n">
        <v>16</v>
      </c>
      <c r="B43" s="34">
        <f>IFERROR(INDEX($B$5:$B$20,MATCH("Red-"&amp;A43,$P$5:$P$20,0)),IFERROR(INDEX($J$5:$J$20,MATCH("Red-"&amp;A43,$Q$5:$Q$20,0)),""))</f>
        <v/>
      </c>
      <c r="C43" s="34">
        <f>IFERROR(INDEX($C$5:$C$20,MATCH("Red-"&amp;A43,$P$5:$P$20,0)),IFERROR(INDEX($K$5:$K$20,MATCH("Red-"&amp;A43,$Q$5:$Q$20,0)),""))</f>
        <v/>
      </c>
      <c r="D43" s="44" t="inlineStr">
        <is>
          <t>Wireless 4</t>
        </is>
      </c>
      <c r="E43" s="45" t="inlineStr"/>
      <c r="F43" s="46" t="n"/>
      <c r="G43" s="46" t="n"/>
    </row>
    <row r="44" ht="15.75" customHeight="1" s="37"/>
    <row r="45" ht="15.75" customHeight="1" s="37">
      <c r="A45" s="36" t="inlineStr">
        <is>
          <t>Live: type the Split Patch code (e.g. R-3) on either channel block above and the matching location here fills in automatically. Blank = not patched yet.</t>
        </is>
      </c>
    </row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45">
    <mergeCell ref="M34:N34"/>
    <mergeCell ref="E24:F24"/>
    <mergeCell ref="E33:F33"/>
    <mergeCell ref="E23:F23"/>
    <mergeCell ref="E40:G40"/>
    <mergeCell ref="M39:N39"/>
    <mergeCell ref="E39:F39"/>
    <mergeCell ref="A3:O3"/>
    <mergeCell ref="E35:F35"/>
    <mergeCell ref="A26:O26"/>
    <mergeCell ref="E38:F38"/>
    <mergeCell ref="M35:N35"/>
    <mergeCell ref="E29:F29"/>
    <mergeCell ref="J24:K24"/>
    <mergeCell ref="B23:C23"/>
    <mergeCell ref="E28:F28"/>
    <mergeCell ref="A22:O22"/>
    <mergeCell ref="M31:N31"/>
    <mergeCell ref="E31:F31"/>
    <mergeCell ref="E34:F34"/>
    <mergeCell ref="M30:N30"/>
    <mergeCell ref="F2:G2"/>
    <mergeCell ref="E30:F30"/>
    <mergeCell ref="A45:O46"/>
    <mergeCell ref="E41:G41"/>
    <mergeCell ref="M37:N37"/>
    <mergeCell ref="M28:N28"/>
    <mergeCell ref="E27:F27"/>
    <mergeCell ref="M36:N36"/>
    <mergeCell ref="E36:F36"/>
    <mergeCell ref="M27:N27"/>
    <mergeCell ref="M33:N33"/>
    <mergeCell ref="E43:G43"/>
    <mergeCell ref="M24:N24"/>
    <mergeCell ref="B24:C24"/>
    <mergeCell ref="E42:G42"/>
    <mergeCell ref="E32:F32"/>
    <mergeCell ref="M29:N29"/>
    <mergeCell ref="M23:N23"/>
    <mergeCell ref="M32:N32"/>
    <mergeCell ref="M38:N38"/>
    <mergeCell ref="A1:O1"/>
    <mergeCell ref="E37:F37"/>
    <mergeCell ref="J23:K23"/>
    <mergeCell ref="M2:O2"/>
  </mergeCells>
  <conditionalFormatting sqref="D5:D20">
    <cfRule type="expression" priority="1" dxfId="0">
      <formula>UPPER(LEFT($D5,1))="R"</formula>
    </cfRule>
    <cfRule type="expression" priority="2" dxfId="1">
      <formula>UPPER(LEFT($D5,1))="G"</formula>
    </cfRule>
    <cfRule type="expression" priority="3" dxfId="2">
      <formula>UPPER(LEFT($D5,1))="B"</formula>
    </cfRule>
    <cfRule type="expression" priority="4" dxfId="3">
      <formula>UPPER(LEFT($D5,1))="O"</formula>
    </cfRule>
  </conditionalFormatting>
  <conditionalFormatting sqref="L5:L20">
    <cfRule type="expression" priority="5" dxfId="0">
      <formula>UPPER(LEFT($L5,1))="R"</formula>
    </cfRule>
    <cfRule type="expression" priority="6" dxfId="1">
      <formula>UPPER(LEFT($L5,1))="G"</formula>
    </cfRule>
    <cfRule type="expression" priority="7" dxfId="2">
      <formula>UPPER(LEFT($L5,1))="B"</formula>
    </cfRule>
    <cfRule type="expression" priority="8" dxfId="3">
      <formula>UPPER(LEFT($L5,1))="O"</formula>
    </cfRule>
  </conditionalFormatting>
  <dataValidations count="2">
    <dataValidation sqref="E5:E20 M5:M20" showDropDown="0" showInputMessage="0" showErrorMessage="0" allowBlank="1" type="list">
      <formula1>"✓"</formula1>
    </dataValidation>
    <dataValidation sqref="F5:F20 N5:N20" showDropDown="0" showInputMessage="0" showErrorMessage="0" allowBlank="1" type="list">
      <formula1>"Short,Tall,Boom,Bar,Clip,DI,—"</formula1>
    </dataValidation>
  </dataValidations>
  <pageMargins left="0.3" right="0.3" top="0.4" bottom="0.4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2026-07-20T03:14:44Z</dcterms:created>
  <dcterms:modified xmlns:dcterms="http://purl.org/dc/terms/" xmlns:xsi="http://www.w3.org/2001/XMLSchema-instance" xsi:type="dcterms:W3CDTF">2026-07-20T03:14:44Z</dcterms:modified>
</cp:coreProperties>
</file>