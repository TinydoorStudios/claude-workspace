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2 - Two-Up Split" sheetId="1" r:id="rId5"/>
  </sheets>
  <definedNames/>
  <calcPr/>
</workbook>
</file>

<file path=xl/sharedStrings.xml><?xml version="1.0" encoding="utf-8"?>
<sst xmlns="http://schemas.openxmlformats.org/spreadsheetml/2006/main" count="97" uniqueCount="72">
  <si>
    <t>INPUT LIST — MASTER TEMPLATE (Two-Up)</t>
  </si>
  <si>
    <t>Show:</t>
  </si>
  <si>
    <t>RatBoys</t>
  </si>
  <si>
    <t>Venue:</t>
  </si>
  <si>
    <t>FSQ</t>
  </si>
  <si>
    <t>Date:</t>
  </si>
  <si>
    <t>FOH:</t>
  </si>
  <si>
    <t>Tour - Melissa Adams</t>
  </si>
  <si>
    <t>MON:</t>
  </si>
  <si>
    <t xml:space="preserve">Split Patch: type the zone letter + location number — R-1 to R-16 (Red), G-1 to G-12 (Green), B-1 to B-12 (Blue), O-1 to O-12 (Orange) — or WIRELESS for wireless channels. The cell colors itself to match as you type. </t>
  </si>
  <si>
    <t>Ch</t>
  </si>
  <si>
    <t>Instrument</t>
  </si>
  <si>
    <t>Mic/DI</t>
  </si>
  <si>
    <t>Split Patch</t>
  </si>
  <si>
    <t>48V</t>
  </si>
  <si>
    <t>Stand</t>
  </si>
  <si>
    <t>Notes</t>
  </si>
  <si>
    <t>1</t>
  </si>
  <si>
    <t>Kick In</t>
  </si>
  <si>
    <t>Shure Beta 91</t>
  </si>
  <si>
    <t>17</t>
  </si>
  <si>
    <t>Cowbell</t>
  </si>
  <si>
    <t>Shure SM57</t>
  </si>
  <si>
    <t>Kick Out</t>
  </si>
  <si>
    <t>Shure NXN2</t>
  </si>
  <si>
    <t>Steel Guitar</t>
  </si>
  <si>
    <t>Shure NXN5</t>
  </si>
  <si>
    <t>Snare Top</t>
  </si>
  <si>
    <t>Shure NXN6</t>
  </si>
  <si>
    <t>Sean Vocal</t>
  </si>
  <si>
    <t>Shure SM58</t>
  </si>
  <si>
    <t>High Hat</t>
  </si>
  <si>
    <t>Karma micro bullet</t>
  </si>
  <si>
    <t>Julia Vocal</t>
  </si>
  <si>
    <t>sE V7</t>
  </si>
  <si>
    <t>Rack</t>
  </si>
  <si>
    <t xml:space="preserve"> </t>
  </si>
  <si>
    <t>Floor</t>
  </si>
  <si>
    <t>Ride</t>
  </si>
  <si>
    <t>Audio-Tech. Pro 37</t>
  </si>
  <si>
    <t>underhead</t>
  </si>
  <si>
    <t>Overhead</t>
  </si>
  <si>
    <t>Shure SM27</t>
  </si>
  <si>
    <t>SPDX</t>
  </si>
  <si>
    <t>Radial Pro D2</t>
  </si>
  <si>
    <t>Bass DI</t>
  </si>
  <si>
    <t>XLR</t>
  </si>
  <si>
    <t>Bass Mic</t>
  </si>
  <si>
    <t>Sennheiser MD421</t>
  </si>
  <si>
    <t>J Guitar</t>
  </si>
  <si>
    <t>Front Mic</t>
  </si>
  <si>
    <t xml:space="preserve">D Guitar </t>
  </si>
  <si>
    <t>Sennheiser MD409</t>
  </si>
  <si>
    <t>Rear Mic Cab</t>
  </si>
  <si>
    <t>D Guitar Rear</t>
  </si>
  <si>
    <t>Acoustic</t>
  </si>
  <si>
    <t>MIXES / AUX SENDS</t>
  </si>
  <si>
    <t>Mix 1</t>
  </si>
  <si>
    <t>Mix 3</t>
  </si>
  <si>
    <t>Mix 5</t>
  </si>
  <si>
    <t>Mix 7</t>
  </si>
  <si>
    <t>Mix 2</t>
  </si>
  <si>
    <t>Mix 4</t>
  </si>
  <si>
    <t>Mix 6</t>
  </si>
  <si>
    <t>Mix 8</t>
  </si>
  <si>
    <t>SNAKE PATCH SHEETS — auto-fills from the channel grid</t>
  </si>
  <si>
    <t>Loc</t>
  </si>
  <si>
    <t>Wireless 1</t>
  </si>
  <si>
    <t>Wireless 2</t>
  </si>
  <si>
    <t>Wireless 3</t>
  </si>
  <si>
    <t>Wireless 4</t>
  </si>
  <si>
    <t>Live: type the Split Patch code (e.g. R-3) on either channel block above and the matching location here fills in automatically. Blank = not patched yet.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</si>
</sst>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2">
    <font>
      <sz val="11.0"/>
      <color theme="1"/>
      <name val="Calibri"/>
      <scheme val="minor"/>
    </font>
    <font>
      <b/>
      <sz val="18.0"/>
      <color rgb="FFFFFFFF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i/>
      <sz val="9.0"/>
      <color rgb="FFFFFFFF"/>
      <name val="Calibri"/>
    </font>
    <font>
      <i/>
      <sz val="10.0"/>
      <color rgb="FF6B7280"/>
      <name val="Consolas"/>
    </font>
    <font>
      <b/>
      <sz val="10.0"/>
      <color rgb="FF6B7280"/>
      <name val="Calibri"/>
    </font>
    <font>
      <color theme="1"/>
      <name val="Calibri"/>
    </font>
    <font>
      <sz val="10.0"/>
      <color rgb="FF000000"/>
      <name val="Consolas"/>
    </font>
    <font>
      <sz val="10.0"/>
      <color rgb="FF000000"/>
      <name val="Calibri"/>
    </font>
    <font>
      <color theme="1"/>
      <name val="Calibri"/>
      <scheme val="minor"/>
    </font>
    <font>
      <b/>
      <sz val="12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FFFFFF"/>
      <name val="Calibri"/>
    </font>
    <font>
      <b/>
      <sz val="9.0"/>
      <color rgb="FFFFFFFF"/>
      <name val="Calibri"/>
    </font>
    <font>
      <sz val="9.0"/>
      <color rgb="FF000000"/>
      <name val="Consolas"/>
    </font>
    <font>
      <sz val="9.0"/>
      <color rgb="FF000000"/>
      <name val="Calibri"/>
    </font>
    <font>
      <b/>
      <sz val="10.0"/>
      <color rgb="FF000000"/>
      <name val="Calibri"/>
    </font>
    <font>
      <i/>
      <sz val="8.0"/>
      <color rgb="FF6B728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111827"/>
        <bgColor rgb="FF111827"/>
      </patternFill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  <fill>
      <patternFill patternType="solid">
        <fgColor rgb="FFF4F0E8"/>
        <bgColor rgb="FFF4F0E8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F6B26B"/>
        <bgColor rgb="FFF6B26B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 style="thin">
        <color rgb="FF9CA3AF"/>
      </left>
      <top style="thin">
        <color rgb="FF9CA3AF"/>
      </top>
      <bottom style="thin">
        <color rgb="FF9CA3AF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top style="thin">
        <color rgb="FF9CA3AF"/>
      </top>
      <bottom style="thin">
        <color rgb="FF9CA3A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4" fillId="3" fontId="5" numFmtId="0" xfId="0" applyAlignment="1" applyBorder="1" applyFill="1" applyFont="1">
      <alignment horizontal="center" readingOrder="0" vertical="center"/>
    </xf>
    <xf borderId="1" fillId="3" fontId="5" numFmtId="164" xfId="0" applyAlignment="1" applyBorder="1" applyFill="1" applyFont="1" applyNumberFormat="1">
      <alignment horizontal="center" readingOrder="0" vertical="center"/>
    </xf>
    <xf borderId="4" fillId="3" fontId="3" numFmtId="0" xfId="0" applyAlignment="1" applyBorder="1" applyFill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vertical="center"/>
    </xf>
    <xf borderId="5" fillId="5" fontId="7" numFmtId="0" xfId="0" applyAlignment="1" applyBorder="1" applyFill="1" applyFont="1">
      <alignment horizontal="center" vertical="center"/>
    </xf>
    <xf borderId="5" fillId="5" fontId="8" numFmtId="0" xfId="0" applyAlignment="1" applyBorder="1" applyFill="1" applyFont="1">
      <alignment horizontal="center" readingOrder="0" vertical="center"/>
    </xf>
    <xf borderId="5" fillId="5" fontId="8" numFmtId="0" xfId="0" applyAlignment="1" applyBorder="1" applyFill="1" applyFont="1">
      <alignment horizontal="center" vertical="center"/>
    </xf>
    <xf borderId="0" fillId="0" fontId="9" numFmtId="0" xfId="0" applyFont="1"/>
    <xf borderId="5" fillId="6" fontId="10" numFmtId="0" xfId="0" applyAlignment="1" applyBorder="1" applyFill="1" applyFont="1">
      <alignment horizontal="center" vertical="center"/>
    </xf>
    <xf borderId="5" fillId="6" fontId="11" numFmtId="0" xfId="0" applyAlignment="1" applyBorder="1" applyFill="1" applyFont="1">
      <alignment horizontal="center" readingOrder="0" vertical="center"/>
    </xf>
    <xf borderId="5" fillId="6" fontId="11" numFmtId="0" xfId="0" applyAlignment="1" applyBorder="1" applyFill="1" applyFont="1">
      <alignment horizontal="center" vertical="center"/>
    </xf>
    <xf borderId="5" fillId="5" fontId="10" numFmtId="0" xfId="0" applyAlignment="1" applyBorder="1" applyFill="1" applyFont="1">
      <alignment horizontal="center" vertical="center"/>
    </xf>
    <xf borderId="5" fillId="5" fontId="11" numFmtId="0" xfId="0" applyAlignment="1" applyBorder="1" applyFill="1" applyFont="1">
      <alignment horizontal="center" readingOrder="0" vertical="center"/>
    </xf>
    <xf borderId="5" fillId="5" fontId="11" numFmtId="0" xfId="0" applyAlignment="1" applyBorder="1" applyFill="1" applyFont="1">
      <alignment horizontal="center" vertical="center"/>
    </xf>
    <xf borderId="0" fillId="0" fontId="12" numFmtId="0" xfId="0" applyAlignment="1" applyFont="1">
      <alignment readingOrder="0" vertical="top"/>
    </xf>
    <xf borderId="1" fillId="4" fontId="13" numFmtId="0" xfId="0" applyAlignment="1" applyBorder="1" applyFill="1" applyFont="1">
      <alignment horizontal="center" vertical="center"/>
    </xf>
    <xf borderId="5" fillId="5" fontId="14" numFmtId="0" xfId="0" applyAlignment="1" applyBorder="1" applyFill="1" applyFont="1">
      <alignment horizontal="center" vertical="center"/>
    </xf>
    <xf borderId="6" fillId="7" fontId="15" numFmtId="0" xfId="0" applyAlignment="1" applyBorder="1" applyFill="1" applyFont="1">
      <alignment horizontal="center" vertical="center"/>
    </xf>
    <xf borderId="7" fillId="0" fontId="2" numFmtId="0" xfId="0" applyBorder="1" applyFont="1"/>
    <xf borderId="1" fillId="4" fontId="16" numFmtId="0" xfId="0" applyAlignment="1" applyBorder="1" applyFill="1" applyFont="1">
      <alignment horizontal="center" vertical="center"/>
    </xf>
    <xf borderId="5" fillId="8" fontId="17" numFmtId="0" xfId="0" applyAlignment="1" applyBorder="1" applyFill="1" applyFont="1">
      <alignment horizontal="center" vertical="center"/>
    </xf>
    <xf borderId="5" fillId="9" fontId="17" numFmtId="0" xfId="0" applyAlignment="1" applyBorder="1" applyFill="1" applyFont="1">
      <alignment horizontal="center" vertical="center"/>
    </xf>
    <xf borderId="6" fillId="9" fontId="17" numFmtId="0" xfId="0" applyAlignment="1" applyBorder="1" applyFill="1" applyFont="1">
      <alignment horizontal="center" vertical="center"/>
    </xf>
    <xf borderId="5" fillId="10" fontId="17" numFmtId="0" xfId="0" applyAlignment="1" applyBorder="1" applyFill="1" applyFont="1">
      <alignment horizontal="center" vertical="center"/>
    </xf>
    <xf borderId="5" fillId="11" fontId="17" numFmtId="0" xfId="0" applyAlignment="1" applyBorder="1" applyFill="1" applyFont="1">
      <alignment horizontal="center" vertical="center"/>
    </xf>
    <xf borderId="6" fillId="11" fontId="17" numFmtId="0" xfId="0" applyAlignment="1" applyBorder="1" applyFill="1" applyFont="1">
      <alignment horizontal="center" vertical="center"/>
    </xf>
    <xf borderId="5" fillId="8" fontId="18" numFmtId="0" xfId="0" applyAlignment="1" applyBorder="1" applyFill="1" applyFont="1">
      <alignment horizontal="center" vertical="center"/>
    </xf>
    <xf borderId="5" fillId="5" fontId="19" numFmtId="0" xfId="0" applyAlignment="1" applyBorder="1" applyFill="1" applyFont="1">
      <alignment horizontal="center" vertical="center"/>
    </xf>
    <xf borderId="5" fillId="9" fontId="18" numFmtId="0" xfId="0" applyAlignment="1" applyBorder="1" applyFill="1" applyFont="1">
      <alignment horizontal="center" vertical="center"/>
    </xf>
    <xf borderId="6" fillId="5" fontId="19" numFmtId="0" xfId="0" applyAlignment="1" applyBorder="1" applyFill="1" applyFont="1">
      <alignment horizontal="center" vertical="center"/>
    </xf>
    <xf borderId="5" fillId="10" fontId="18" numFmtId="0" xfId="0" applyAlignment="1" applyBorder="1" applyFill="1" applyFont="1">
      <alignment horizontal="center" vertical="center"/>
    </xf>
    <xf borderId="5" fillId="11" fontId="18" numFmtId="0" xfId="0" applyAlignment="1" applyBorder="1" applyFill="1" applyFont="1">
      <alignment horizontal="center" vertical="center"/>
    </xf>
    <xf borderId="5" fillId="6" fontId="19" numFmtId="0" xfId="0" applyAlignment="1" applyBorder="1" applyFill="1" applyFont="1">
      <alignment horizontal="center" vertical="center"/>
    </xf>
    <xf borderId="6" fillId="6" fontId="19" numFmtId="0" xfId="0" applyAlignment="1" applyBorder="1" applyFill="1" applyFont="1">
      <alignment horizontal="center" vertical="center"/>
    </xf>
    <xf borderId="5" fillId="5" fontId="20" numFmtId="0" xfId="0" applyAlignment="1" applyBorder="1" applyFill="1" applyFont="1">
      <alignment horizontal="center" vertical="center"/>
    </xf>
    <xf borderId="6" fillId="7" fontId="11" numFmtId="0" xfId="0" applyAlignment="1" applyBorder="1" applyFill="1" applyFont="1">
      <alignment horizontal="center" vertical="center"/>
    </xf>
    <xf borderId="8" fillId="0" fontId="2" numFmtId="0" xfId="0" applyBorder="1" applyFont="1"/>
    <xf borderId="0" fillId="0" fontId="21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43"/>
    <col customWidth="1" min="2" max="2" width="26.0"/>
    <col customWidth="1" min="3" max="3" width="16.0"/>
    <col customWidth="1" min="4" max="4" width="12.0"/>
    <col customWidth="1" min="5" max="5" width="6.43"/>
    <col customWidth="1" min="6" max="6" width="9.43"/>
    <col customWidth="1" min="7" max="7" width="30.0"/>
    <col customWidth="1" min="8" max="8" width="2.43"/>
    <col customWidth="1" min="9" max="9" width="5.43"/>
    <col customWidth="1" min="10" max="10" width="26.0"/>
    <col customWidth="1" min="11" max="11" width="16.0"/>
    <col customWidth="1" min="12" max="12" width="12.0"/>
    <col customWidth="1" min="13" max="13" width="6.43"/>
    <col customWidth="1" min="14" max="14" width="9.43"/>
    <col customWidth="1" min="15" max="15" width="30.0"/>
    <col customWidth="1" hidden="1" min="16" max="17" width="1.0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7">
        <v>46284.0</v>
      </c>
      <c r="G2" s="3"/>
      <c r="H2" s="8"/>
      <c r="I2" s="5" t="s">
        <v>6</v>
      </c>
      <c r="J2" s="6" t="s">
        <v>7</v>
      </c>
      <c r="K2" s="9"/>
      <c r="L2" s="5" t="s">
        <v>8</v>
      </c>
      <c r="M2" s="10"/>
      <c r="N2" s="2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11" t="s">
        <v>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2" t="s">
        <v>10</v>
      </c>
      <c r="B4" s="12" t="s">
        <v>11</v>
      </c>
      <c r="C4" s="12" t="s">
        <v>12</v>
      </c>
      <c r="D4" s="12" t="s">
        <v>13</v>
      </c>
      <c r="E4" s="12" t="s">
        <v>14</v>
      </c>
      <c r="F4" s="12" t="s">
        <v>15</v>
      </c>
      <c r="G4" s="12" t="s">
        <v>16</v>
      </c>
      <c r="H4" s="4"/>
      <c r="I4" s="12" t="s">
        <v>10</v>
      </c>
      <c r="J4" s="12" t="s">
        <v>11</v>
      </c>
      <c r="K4" s="12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13" t="s">
        <v>17</v>
      </c>
      <c r="B5" s="14" t="s">
        <v>18</v>
      </c>
      <c r="C5" s="14" t="s">
        <v>19</v>
      </c>
      <c r="D5" s="13"/>
      <c r="E5" s="15"/>
      <c r="F5" s="15"/>
      <c r="G5" s="15"/>
      <c r="H5" s="4"/>
      <c r="I5" s="13" t="s">
        <v>20</v>
      </c>
      <c r="J5" s="14" t="s">
        <v>21</v>
      </c>
      <c r="K5" s="14" t="s">
        <v>22</v>
      </c>
      <c r="L5" s="13"/>
      <c r="M5" s="15"/>
      <c r="N5" s="15"/>
      <c r="O5" s="15"/>
      <c r="P5" s="16" t="str">
        <f t="shared" ref="P5:P7" si="1">IF(OR($D5="",UPPER($D5)="WIRELESS"),"",IF(UPPER(LEFT($D5,1))="R","Red",IF(UPPER(LEFT($D5,1))="G","Green",IF(UPPER(LEFT($D5,1))="B","Blue",IF(UPPER(LEFT($D5,1))="O","Orange",""))))&amp;"-"&amp;IFERROR(VALUE(SUBSTITUTE(MID($D5,2,10),"-","")),""))</f>
        <v/>
      </c>
      <c r="Q5" s="16" t="str">
        <f t="shared" ref="Q5:Q20" si="2">IF(OR($L5="",UPPER($L5)="WIRELESS"),"",IF(UPPER(LEFT($L5,1))="R","Red",IF(UPPER(LEFT($L5,1))="G","Green",IF(UPPER(LEFT($L5,1))="B","Blue",IF(UPPER(LEFT($L5,1))="O","Orange",""))))&amp;"-"&amp;IFERROR(VALUE(SUBSTITUTE(MID($L5,2,10),"-","")),""))</f>
        <v/>
      </c>
      <c r="R5" s="4"/>
      <c r="S5" s="4"/>
      <c r="T5" s="4"/>
      <c r="U5" s="4"/>
      <c r="V5" s="4"/>
      <c r="W5" s="4"/>
      <c r="X5" s="4"/>
      <c r="Y5" s="4"/>
      <c r="Z5" s="4"/>
    </row>
    <row r="6" ht="19.5" customHeight="1">
      <c r="A6" s="17">
        <v>2.0</v>
      </c>
      <c r="B6" s="18" t="s">
        <v>23</v>
      </c>
      <c r="C6" s="18" t="s">
        <v>24</v>
      </c>
      <c r="D6" s="17"/>
      <c r="E6" s="19"/>
      <c r="F6" s="19"/>
      <c r="G6" s="19"/>
      <c r="H6" s="4"/>
      <c r="I6" s="17">
        <v>18.0</v>
      </c>
      <c r="J6" s="18" t="s">
        <v>25</v>
      </c>
      <c r="K6" s="18" t="s">
        <v>26</v>
      </c>
      <c r="L6" s="17"/>
      <c r="M6" s="19"/>
      <c r="N6" s="19"/>
      <c r="O6" s="19"/>
      <c r="P6" s="16" t="str">
        <f t="shared" si="1"/>
        <v/>
      </c>
      <c r="Q6" s="16" t="str">
        <f t="shared" si="2"/>
        <v/>
      </c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20">
        <v>3.0</v>
      </c>
      <c r="B7" s="21" t="s">
        <v>27</v>
      </c>
      <c r="C7" s="21" t="s">
        <v>28</v>
      </c>
      <c r="D7" s="20"/>
      <c r="E7" s="22"/>
      <c r="F7" s="22"/>
      <c r="G7" s="22"/>
      <c r="H7" s="4"/>
      <c r="I7" s="20">
        <v>19.0</v>
      </c>
      <c r="J7" s="21" t="s">
        <v>29</v>
      </c>
      <c r="K7" s="21" t="s">
        <v>30</v>
      </c>
      <c r="L7" s="20"/>
      <c r="M7" s="22"/>
      <c r="N7" s="22"/>
      <c r="O7" s="22"/>
      <c r="P7" s="16" t="str">
        <f t="shared" si="1"/>
        <v/>
      </c>
      <c r="Q7" s="16" t="str">
        <f t="shared" si="2"/>
        <v/>
      </c>
      <c r="R7" s="4"/>
      <c r="S7" s="4"/>
      <c r="T7" s="4"/>
      <c r="U7" s="4"/>
      <c r="V7" s="4"/>
      <c r="W7" s="4"/>
      <c r="X7" s="4"/>
      <c r="Y7" s="4"/>
      <c r="Z7" s="4"/>
    </row>
    <row r="8" ht="19.5" customHeight="1">
      <c r="A8" s="17">
        <v>4.0</v>
      </c>
      <c r="B8" s="18" t="s">
        <v>31</v>
      </c>
      <c r="C8" s="23" t="s">
        <v>32</v>
      </c>
      <c r="D8" s="17"/>
      <c r="E8" s="19"/>
      <c r="F8" s="19"/>
      <c r="G8" s="19"/>
      <c r="H8" s="4"/>
      <c r="I8" s="17">
        <v>20.0</v>
      </c>
      <c r="J8" s="18" t="s">
        <v>33</v>
      </c>
      <c r="K8" s="18" t="s">
        <v>34</v>
      </c>
      <c r="L8" s="17"/>
      <c r="M8" s="19"/>
      <c r="N8" s="19"/>
      <c r="O8" s="19"/>
      <c r="P8" s="16" t="str">
        <f>IF(OR($C8="",UPPER($C8)="WIRELESS"),"",IF(UPPER(LEFT($C8,1))="R","Red",IF(UPPER(LEFT($C8,1))="G","Green",IF(UPPER(LEFT($C8,1))="B","Blue",IF(UPPER(LEFT($C8,1))="O","Orange",""))))&amp;"-"&amp;IFERROR(VALUE(SUBSTITUTE(MID($C8,2,10),"-","")),""))</f>
        <v>-</v>
      </c>
      <c r="Q8" s="16" t="str">
        <f t="shared" si="2"/>
        <v/>
      </c>
      <c r="R8" s="4"/>
      <c r="S8" s="4"/>
      <c r="T8" s="4"/>
      <c r="U8" s="4"/>
      <c r="V8" s="4"/>
      <c r="W8" s="4"/>
      <c r="X8" s="4"/>
      <c r="Y8" s="4"/>
      <c r="Z8" s="4"/>
    </row>
    <row r="9" ht="19.5" customHeight="1">
      <c r="A9" s="20">
        <v>5.0</v>
      </c>
      <c r="B9" s="21" t="s">
        <v>35</v>
      </c>
      <c r="C9" s="21" t="s">
        <v>28</v>
      </c>
      <c r="D9" s="23" t="s">
        <v>36</v>
      </c>
      <c r="E9" s="22"/>
      <c r="F9" s="22"/>
      <c r="G9" s="22"/>
      <c r="H9" s="4"/>
      <c r="I9" s="20">
        <v>21.0</v>
      </c>
      <c r="J9" s="22"/>
      <c r="K9" s="22"/>
      <c r="L9" s="20"/>
      <c r="M9" s="22"/>
      <c r="N9" s="22"/>
      <c r="O9" s="22"/>
      <c r="P9" s="16" t="str">
        <f t="shared" ref="P9:P20" si="3">IF(OR($D9="",UPPER($D9)="WIRELESS"),"",IF(UPPER(LEFT($D9,1))="R","Red",IF(UPPER(LEFT($D9,1))="G","Green",IF(UPPER(LEFT($D9,1))="B","Blue",IF(UPPER(LEFT($D9,1))="O","Orange",""))))&amp;"-"&amp;IFERROR(VALUE(SUBSTITUTE(MID($D9,2,10),"-","")),""))</f>
        <v>-0</v>
      </c>
      <c r="Q9" s="16" t="str">
        <f t="shared" si="2"/>
        <v/>
      </c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17">
        <v>6.0</v>
      </c>
      <c r="B10" s="18" t="s">
        <v>37</v>
      </c>
      <c r="C10" s="21" t="s">
        <v>28</v>
      </c>
      <c r="D10" s="17"/>
      <c r="E10" s="19"/>
      <c r="F10" s="19"/>
      <c r="G10" s="19"/>
      <c r="H10" s="4"/>
      <c r="I10" s="17">
        <v>22.0</v>
      </c>
      <c r="J10" s="19"/>
      <c r="K10" s="19"/>
      <c r="L10" s="17"/>
      <c r="M10" s="19"/>
      <c r="N10" s="19"/>
      <c r="O10" s="19"/>
      <c r="P10" s="16" t="str">
        <f t="shared" si="3"/>
        <v/>
      </c>
      <c r="Q10" s="16" t="str">
        <f t="shared" si="2"/>
        <v/>
      </c>
      <c r="R10" s="4"/>
      <c r="S10" s="4"/>
      <c r="T10" s="4"/>
      <c r="U10" s="4"/>
      <c r="V10" s="4"/>
      <c r="W10" s="4"/>
      <c r="X10" s="4"/>
      <c r="Y10" s="4"/>
      <c r="Z10" s="4"/>
    </row>
    <row r="11" ht="19.5" customHeight="1">
      <c r="A11" s="20">
        <v>7.0</v>
      </c>
      <c r="B11" s="21" t="s">
        <v>38</v>
      </c>
      <c r="C11" s="21" t="s">
        <v>39</v>
      </c>
      <c r="D11" s="20"/>
      <c r="E11" s="22"/>
      <c r="F11" s="22"/>
      <c r="G11" s="21" t="s">
        <v>40</v>
      </c>
      <c r="H11" s="4"/>
      <c r="I11" s="20">
        <v>23.0</v>
      </c>
      <c r="J11" s="22"/>
      <c r="K11" s="22"/>
      <c r="L11" s="20"/>
      <c r="M11" s="22"/>
      <c r="N11" s="22"/>
      <c r="O11" s="22"/>
      <c r="P11" s="16" t="str">
        <f t="shared" si="3"/>
        <v/>
      </c>
      <c r="Q11" s="16" t="str">
        <f t="shared" si="2"/>
        <v/>
      </c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7">
        <v>8.0</v>
      </c>
      <c r="B12" s="18" t="s">
        <v>41</v>
      </c>
      <c r="C12" s="18" t="s">
        <v>42</v>
      </c>
      <c r="D12" s="17"/>
      <c r="E12" s="19"/>
      <c r="F12" s="19"/>
      <c r="G12" s="19"/>
      <c r="H12" s="4"/>
      <c r="I12" s="17">
        <v>24.0</v>
      </c>
      <c r="J12" s="19"/>
      <c r="K12" s="19"/>
      <c r="L12" s="17"/>
      <c r="M12" s="19"/>
      <c r="N12" s="19"/>
      <c r="O12" s="19"/>
      <c r="P12" s="16" t="str">
        <f t="shared" si="3"/>
        <v/>
      </c>
      <c r="Q12" s="16" t="str">
        <f t="shared" si="2"/>
        <v/>
      </c>
      <c r="R12" s="4"/>
      <c r="S12" s="4"/>
      <c r="T12" s="4"/>
      <c r="U12" s="4"/>
      <c r="V12" s="4"/>
      <c r="W12" s="4"/>
      <c r="X12" s="4"/>
      <c r="Y12" s="4"/>
      <c r="Z12" s="4"/>
    </row>
    <row r="13" ht="19.5" customHeight="1">
      <c r="A13" s="20">
        <v>9.0</v>
      </c>
      <c r="B13" s="21" t="s">
        <v>43</v>
      </c>
      <c r="C13" s="21" t="s">
        <v>44</v>
      </c>
      <c r="D13" s="20"/>
      <c r="E13" s="22"/>
      <c r="F13" s="22"/>
      <c r="G13" s="22"/>
      <c r="H13" s="4"/>
      <c r="I13" s="20">
        <v>25.0</v>
      </c>
      <c r="J13" s="22"/>
      <c r="K13" s="22"/>
      <c r="L13" s="20"/>
      <c r="M13" s="22"/>
      <c r="N13" s="22"/>
      <c r="O13" s="22"/>
      <c r="P13" s="16" t="str">
        <f t="shared" si="3"/>
        <v/>
      </c>
      <c r="Q13" s="16" t="str">
        <f t="shared" si="2"/>
        <v/>
      </c>
      <c r="R13" s="4"/>
      <c r="S13" s="4"/>
      <c r="T13" s="4"/>
      <c r="U13" s="4"/>
      <c r="V13" s="4"/>
      <c r="W13" s="4"/>
      <c r="X13" s="4"/>
      <c r="Y13" s="4"/>
      <c r="Z13" s="4"/>
    </row>
    <row r="14" ht="19.5" customHeight="1">
      <c r="A14" s="17">
        <v>10.0</v>
      </c>
      <c r="B14" s="18" t="s">
        <v>43</v>
      </c>
      <c r="C14" s="21" t="s">
        <v>44</v>
      </c>
      <c r="D14" s="17"/>
      <c r="E14" s="19"/>
      <c r="F14" s="19"/>
      <c r="G14" s="19"/>
      <c r="H14" s="4"/>
      <c r="I14" s="17">
        <v>26.0</v>
      </c>
      <c r="J14" s="19"/>
      <c r="K14" s="19"/>
      <c r="L14" s="17"/>
      <c r="M14" s="19"/>
      <c r="N14" s="19"/>
      <c r="O14" s="19"/>
      <c r="P14" s="16" t="str">
        <f t="shared" si="3"/>
        <v/>
      </c>
      <c r="Q14" s="16" t="str">
        <f t="shared" si="2"/>
        <v/>
      </c>
      <c r="R14" s="4"/>
      <c r="S14" s="4"/>
      <c r="T14" s="4"/>
      <c r="U14" s="4"/>
      <c r="V14" s="4"/>
      <c r="W14" s="4"/>
      <c r="X14" s="4"/>
      <c r="Y14" s="4"/>
      <c r="Z14" s="4"/>
    </row>
    <row r="15" ht="19.5" customHeight="1">
      <c r="A15" s="20">
        <v>11.0</v>
      </c>
      <c r="B15" s="21" t="s">
        <v>45</v>
      </c>
      <c r="C15" s="21" t="s">
        <v>46</v>
      </c>
      <c r="D15" s="20"/>
      <c r="E15" s="22"/>
      <c r="F15" s="22"/>
      <c r="G15" s="22"/>
      <c r="H15" s="4"/>
      <c r="I15" s="20">
        <v>27.0</v>
      </c>
      <c r="J15" s="22"/>
      <c r="K15" s="22"/>
      <c r="L15" s="20"/>
      <c r="M15" s="22"/>
      <c r="N15" s="22"/>
      <c r="O15" s="22"/>
      <c r="P15" s="16" t="str">
        <f t="shared" si="3"/>
        <v/>
      </c>
      <c r="Q15" s="16" t="str">
        <f t="shared" si="2"/>
        <v/>
      </c>
      <c r="R15" s="4"/>
      <c r="S15" s="4"/>
      <c r="T15" s="4"/>
      <c r="U15" s="4"/>
      <c r="V15" s="4"/>
      <c r="W15" s="4"/>
      <c r="X15" s="4"/>
      <c r="Y15" s="4"/>
      <c r="Z15" s="4"/>
    </row>
    <row r="16" ht="19.5" customHeight="1">
      <c r="A16" s="17">
        <v>12.0</v>
      </c>
      <c r="B16" s="18" t="s">
        <v>47</v>
      </c>
      <c r="C16" s="18" t="s">
        <v>48</v>
      </c>
      <c r="D16" s="17"/>
      <c r="E16" s="19"/>
      <c r="F16" s="19"/>
      <c r="G16" s="19"/>
      <c r="H16" s="4"/>
      <c r="I16" s="17">
        <v>28.0</v>
      </c>
      <c r="J16" s="19"/>
      <c r="K16" s="19"/>
      <c r="L16" s="17"/>
      <c r="M16" s="19"/>
      <c r="N16" s="19"/>
      <c r="O16" s="19"/>
      <c r="P16" s="16" t="str">
        <f t="shared" si="3"/>
        <v/>
      </c>
      <c r="Q16" s="16" t="str">
        <f t="shared" si="2"/>
        <v/>
      </c>
      <c r="R16" s="4"/>
      <c r="S16" s="4"/>
      <c r="T16" s="4"/>
      <c r="U16" s="4"/>
      <c r="V16" s="4"/>
      <c r="W16" s="4"/>
      <c r="X16" s="4"/>
      <c r="Y16" s="4"/>
      <c r="Z16" s="4"/>
    </row>
    <row r="17" ht="19.5" customHeight="1">
      <c r="A17" s="20">
        <v>13.0</v>
      </c>
      <c r="B17" s="21" t="s">
        <v>49</v>
      </c>
      <c r="C17" s="21" t="s">
        <v>42</v>
      </c>
      <c r="D17" s="20"/>
      <c r="E17" s="22"/>
      <c r="F17" s="22"/>
      <c r="G17" s="21" t="s">
        <v>50</v>
      </c>
      <c r="H17" s="4"/>
      <c r="I17" s="20">
        <v>29.0</v>
      </c>
      <c r="J17" s="22"/>
      <c r="K17" s="22"/>
      <c r="L17" s="20"/>
      <c r="M17" s="22"/>
      <c r="N17" s="22"/>
      <c r="O17" s="22"/>
      <c r="P17" s="16" t="str">
        <f t="shared" si="3"/>
        <v/>
      </c>
      <c r="Q17" s="16" t="str">
        <f t="shared" si="2"/>
        <v/>
      </c>
      <c r="R17" s="4"/>
      <c r="S17" s="4"/>
      <c r="T17" s="4"/>
      <c r="U17" s="4"/>
      <c r="V17" s="4"/>
      <c r="W17" s="4"/>
      <c r="X17" s="4"/>
      <c r="Y17" s="4"/>
      <c r="Z17" s="4"/>
    </row>
    <row r="18" ht="19.5" customHeight="1">
      <c r="A18" s="17">
        <v>14.0</v>
      </c>
      <c r="B18" s="18" t="s">
        <v>51</v>
      </c>
      <c r="C18" s="18" t="s">
        <v>52</v>
      </c>
      <c r="D18" s="17"/>
      <c r="E18" s="19"/>
      <c r="F18" s="19"/>
      <c r="G18" s="18" t="s">
        <v>53</v>
      </c>
      <c r="H18" s="4"/>
      <c r="I18" s="17">
        <v>30.0</v>
      </c>
      <c r="J18" s="19"/>
      <c r="K18" s="19"/>
      <c r="L18" s="17"/>
      <c r="M18" s="19"/>
      <c r="N18" s="19"/>
      <c r="O18" s="19"/>
      <c r="P18" s="16" t="str">
        <f t="shared" si="3"/>
        <v/>
      </c>
      <c r="Q18" s="16" t="str">
        <f t="shared" si="2"/>
        <v/>
      </c>
      <c r="R18" s="4"/>
      <c r="S18" s="4"/>
      <c r="T18" s="4"/>
      <c r="U18" s="4"/>
      <c r="V18" s="4"/>
      <c r="W18" s="4"/>
      <c r="X18" s="4"/>
      <c r="Y18" s="4"/>
      <c r="Z18" s="4"/>
    </row>
    <row r="19" ht="19.5" customHeight="1">
      <c r="A19" s="20">
        <v>15.0</v>
      </c>
      <c r="B19" s="21" t="s">
        <v>54</v>
      </c>
      <c r="C19" s="21" t="s">
        <v>22</v>
      </c>
      <c r="D19" s="20"/>
      <c r="E19" s="22"/>
      <c r="F19" s="22"/>
      <c r="G19" s="22"/>
      <c r="H19" s="4"/>
      <c r="I19" s="20">
        <v>31.0</v>
      </c>
      <c r="J19" s="22"/>
      <c r="K19" s="22"/>
      <c r="L19" s="20"/>
      <c r="M19" s="22"/>
      <c r="N19" s="22"/>
      <c r="O19" s="22"/>
      <c r="P19" s="16" t="str">
        <f t="shared" si="3"/>
        <v/>
      </c>
      <c r="Q19" s="16" t="str">
        <f t="shared" si="2"/>
        <v/>
      </c>
      <c r="R19" s="4"/>
      <c r="S19" s="4"/>
      <c r="T19" s="4"/>
      <c r="U19" s="4"/>
      <c r="V19" s="4"/>
      <c r="W19" s="4"/>
      <c r="X19" s="4"/>
      <c r="Y19" s="4"/>
      <c r="Z19" s="4"/>
    </row>
    <row r="20" ht="19.5" customHeight="1">
      <c r="A20" s="17">
        <v>16.0</v>
      </c>
      <c r="B20" s="18" t="s">
        <v>55</v>
      </c>
      <c r="C20" s="18" t="s">
        <v>46</v>
      </c>
      <c r="D20" s="17"/>
      <c r="E20" s="19"/>
      <c r="F20" s="19"/>
      <c r="G20" s="19"/>
      <c r="H20" s="4"/>
      <c r="I20" s="17">
        <v>32.0</v>
      </c>
      <c r="J20" s="19"/>
      <c r="K20" s="19"/>
      <c r="L20" s="17"/>
      <c r="M20" s="19"/>
      <c r="N20" s="19"/>
      <c r="O20" s="19"/>
      <c r="P20" s="16" t="str">
        <f t="shared" si="3"/>
        <v/>
      </c>
      <c r="Q20" s="16" t="str">
        <f t="shared" si="2"/>
        <v/>
      </c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24" t="s">
        <v>56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4.0" customHeight="1">
      <c r="A23" s="25" t="s">
        <v>57</v>
      </c>
      <c r="B23" s="26"/>
      <c r="C23" s="27"/>
      <c r="D23" s="25" t="s">
        <v>58</v>
      </c>
      <c r="E23" s="26"/>
      <c r="F23" s="27"/>
      <c r="G23" s="4"/>
      <c r="H23" s="4"/>
      <c r="I23" s="25" t="s">
        <v>59</v>
      </c>
      <c r="J23" s="26"/>
      <c r="K23" s="27"/>
      <c r="L23" s="25" t="s">
        <v>60</v>
      </c>
      <c r="M23" s="26"/>
      <c r="N23" s="27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25" t="s">
        <v>61</v>
      </c>
      <c r="B24" s="26"/>
      <c r="C24" s="27"/>
      <c r="D24" s="25" t="s">
        <v>62</v>
      </c>
      <c r="E24" s="26"/>
      <c r="F24" s="27"/>
      <c r="G24" s="4"/>
      <c r="H24" s="4"/>
      <c r="I24" s="25" t="s">
        <v>63</v>
      </c>
      <c r="J24" s="26"/>
      <c r="K24" s="27"/>
      <c r="L24" s="25" t="s">
        <v>64</v>
      </c>
      <c r="M24" s="26"/>
      <c r="N24" s="27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8" t="s">
        <v>65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29" t="s">
        <v>66</v>
      </c>
      <c r="B27" s="29" t="s">
        <v>11</v>
      </c>
      <c r="C27" s="29" t="s">
        <v>12</v>
      </c>
      <c r="D27" s="30" t="s">
        <v>66</v>
      </c>
      <c r="E27" s="31" t="s">
        <v>11</v>
      </c>
      <c r="F27" s="27"/>
      <c r="G27" s="30" t="s">
        <v>12</v>
      </c>
      <c r="H27" s="4"/>
      <c r="I27" s="32" t="s">
        <v>66</v>
      </c>
      <c r="J27" s="32" t="s">
        <v>11</v>
      </c>
      <c r="K27" s="32" t="s">
        <v>12</v>
      </c>
      <c r="L27" s="33" t="s">
        <v>66</v>
      </c>
      <c r="M27" s="34" t="s">
        <v>11</v>
      </c>
      <c r="N27" s="27"/>
      <c r="O27" s="33" t="s">
        <v>12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>
        <v>1.0</v>
      </c>
      <c r="B28" s="36" t="str">
        <f t="shared" ref="B28:B43" si="4">IFERROR(INDEX($B$5:$B$20,MATCH("Red-"&amp;A28,$P$5:$P$20,0)),IFERROR(INDEX($J$5:$J$20,MATCH("Red-"&amp;A28,$Q$5:$Q$20,0)),""))</f>
        <v/>
      </c>
      <c r="C28" s="36" t="str">
        <f t="shared" ref="C28:C43" si="5">IFERROR(INDEX($C$5:$C$20,MATCH("Red-"&amp;A28,$P$5:$P$20,0)),IFERROR(INDEX($K$5:$K$20,MATCH("Red-"&amp;A28,$Q$5:$Q$20,0)),""))</f>
        <v/>
      </c>
      <c r="D28" s="37">
        <v>1.0</v>
      </c>
      <c r="E28" s="38" t="str">
        <f t="shared" ref="E28:E39" si="6">IFERROR(INDEX($B$5:$B$20,MATCH("Green-"&amp;D28,$P$5:$P$20,0)),IFERROR(INDEX($J$5:$J$20,MATCH("Green-"&amp;D28,$Q$5:$Q$20,0)),""))</f>
        <v/>
      </c>
      <c r="F28" s="27"/>
      <c r="G28" s="36" t="str">
        <f t="shared" ref="G28:G39" si="7">IFERROR(INDEX($C$5:$C$20,MATCH("Green-"&amp;D28,$P$5:$P$20,0)),IFERROR(INDEX($K$5:$K$20,MATCH("Green-"&amp;D28,$Q$5:$Q$20,0)),""))</f>
        <v/>
      </c>
      <c r="H28" s="4"/>
      <c r="I28" s="39">
        <v>1.0</v>
      </c>
      <c r="J28" s="36" t="str">
        <f t="shared" ref="J28:J39" si="8">IFERROR(INDEX($B$5:$B$20,MATCH("Blue-"&amp;I28,$P$5:$P$20,0)),IFERROR(INDEX($J$5:$J$20,MATCH("Blue-"&amp;I28,$Q$5:$Q$20,0)),""))</f>
        <v/>
      </c>
      <c r="K28" s="36" t="str">
        <f t="shared" ref="K28:K39" si="9">IFERROR(INDEX($C$5:$C$20,MATCH("Blue-"&amp;I28,$P$5:$P$20,0)),IFERROR(INDEX($K$5:$K$20,MATCH("Blue-"&amp;I28,$Q$5:$Q$20,0)),""))</f>
        <v/>
      </c>
      <c r="L28" s="40">
        <v>1.0</v>
      </c>
      <c r="M28" s="38" t="str">
        <f t="shared" ref="M28:M39" si="10">IFERROR(INDEX($B$5:$B$20,MATCH("Orange-"&amp;L28,$P$5:$P$20,0)),IFERROR(INDEX($J$5:$J$20,MATCH("Orange-"&amp;L28,$Q$5:$Q$20,0)),""))</f>
        <v/>
      </c>
      <c r="N28" s="27"/>
      <c r="O28" s="36" t="str">
        <f t="shared" ref="O28:O39" si="11">IFERROR(INDEX($C$5:$C$20,MATCH("Orange-"&amp;L28,$P$5:$P$20,0)),IFERROR(INDEX($K$5:$K$20,MATCH("Orange-"&amp;L28,$Q$5:$Q$20,0)),""))</f>
        <v/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5">
        <v>2.0</v>
      </c>
      <c r="B29" s="41" t="str">
        <f t="shared" si="4"/>
        <v/>
      </c>
      <c r="C29" s="41" t="str">
        <f t="shared" si="5"/>
        <v/>
      </c>
      <c r="D29" s="37">
        <v>2.0</v>
      </c>
      <c r="E29" s="42" t="str">
        <f t="shared" si="6"/>
        <v/>
      </c>
      <c r="F29" s="27"/>
      <c r="G29" s="41" t="str">
        <f t="shared" si="7"/>
        <v/>
      </c>
      <c r="H29" s="4"/>
      <c r="I29" s="39">
        <v>2.0</v>
      </c>
      <c r="J29" s="41" t="str">
        <f t="shared" si="8"/>
        <v/>
      </c>
      <c r="K29" s="41" t="str">
        <f t="shared" si="9"/>
        <v/>
      </c>
      <c r="L29" s="40">
        <v>2.0</v>
      </c>
      <c r="M29" s="42" t="str">
        <f t="shared" si="10"/>
        <v/>
      </c>
      <c r="N29" s="27"/>
      <c r="O29" s="41" t="str">
        <f t="shared" si="11"/>
        <v/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>
        <v>3.0</v>
      </c>
      <c r="B30" s="36" t="str">
        <f t="shared" si="4"/>
        <v/>
      </c>
      <c r="C30" s="36" t="str">
        <f t="shared" si="5"/>
        <v/>
      </c>
      <c r="D30" s="37">
        <v>3.0</v>
      </c>
      <c r="E30" s="38" t="str">
        <f t="shared" si="6"/>
        <v/>
      </c>
      <c r="F30" s="27"/>
      <c r="G30" s="36" t="str">
        <f t="shared" si="7"/>
        <v/>
      </c>
      <c r="H30" s="4"/>
      <c r="I30" s="39">
        <v>3.0</v>
      </c>
      <c r="J30" s="36" t="str">
        <f t="shared" si="8"/>
        <v/>
      </c>
      <c r="K30" s="36" t="str">
        <f t="shared" si="9"/>
        <v/>
      </c>
      <c r="L30" s="40">
        <v>3.0</v>
      </c>
      <c r="M30" s="38" t="str">
        <f t="shared" si="10"/>
        <v/>
      </c>
      <c r="N30" s="27"/>
      <c r="O30" s="36" t="str">
        <f t="shared" si="11"/>
        <v/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5">
        <v>4.0</v>
      </c>
      <c r="B31" s="41" t="str">
        <f t="shared" si="4"/>
        <v/>
      </c>
      <c r="C31" s="41" t="str">
        <f t="shared" si="5"/>
        <v/>
      </c>
      <c r="D31" s="37">
        <v>4.0</v>
      </c>
      <c r="E31" s="42" t="str">
        <f t="shared" si="6"/>
        <v/>
      </c>
      <c r="F31" s="27"/>
      <c r="G31" s="41" t="str">
        <f t="shared" si="7"/>
        <v/>
      </c>
      <c r="H31" s="4"/>
      <c r="I31" s="39">
        <v>4.0</v>
      </c>
      <c r="J31" s="41" t="str">
        <f t="shared" si="8"/>
        <v/>
      </c>
      <c r="K31" s="41" t="str">
        <f t="shared" si="9"/>
        <v/>
      </c>
      <c r="L31" s="40">
        <v>4.0</v>
      </c>
      <c r="M31" s="42" t="str">
        <f t="shared" si="10"/>
        <v/>
      </c>
      <c r="N31" s="27"/>
      <c r="O31" s="41" t="str">
        <f t="shared" si="11"/>
        <v/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5">
        <v>5.0</v>
      </c>
      <c r="B32" s="36" t="str">
        <f t="shared" si="4"/>
        <v/>
      </c>
      <c r="C32" s="36" t="str">
        <f t="shared" si="5"/>
        <v/>
      </c>
      <c r="D32" s="37">
        <v>5.0</v>
      </c>
      <c r="E32" s="38" t="str">
        <f t="shared" si="6"/>
        <v/>
      </c>
      <c r="F32" s="27"/>
      <c r="G32" s="36" t="str">
        <f t="shared" si="7"/>
        <v/>
      </c>
      <c r="H32" s="4"/>
      <c r="I32" s="39">
        <v>5.0</v>
      </c>
      <c r="J32" s="36" t="str">
        <f t="shared" si="8"/>
        <v/>
      </c>
      <c r="K32" s="36" t="str">
        <f t="shared" si="9"/>
        <v/>
      </c>
      <c r="L32" s="40">
        <v>5.0</v>
      </c>
      <c r="M32" s="38" t="str">
        <f t="shared" si="10"/>
        <v/>
      </c>
      <c r="N32" s="27"/>
      <c r="O32" s="36" t="str">
        <f t="shared" si="11"/>
        <v/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5">
        <v>6.0</v>
      </c>
      <c r="B33" s="41" t="str">
        <f t="shared" si="4"/>
        <v/>
      </c>
      <c r="C33" s="41" t="str">
        <f t="shared" si="5"/>
        <v/>
      </c>
      <c r="D33" s="37">
        <v>6.0</v>
      </c>
      <c r="E33" s="42" t="str">
        <f t="shared" si="6"/>
        <v/>
      </c>
      <c r="F33" s="27"/>
      <c r="G33" s="41" t="str">
        <f t="shared" si="7"/>
        <v/>
      </c>
      <c r="H33" s="4"/>
      <c r="I33" s="39">
        <v>6.0</v>
      </c>
      <c r="J33" s="41" t="str">
        <f t="shared" si="8"/>
        <v/>
      </c>
      <c r="K33" s="41" t="str">
        <f t="shared" si="9"/>
        <v/>
      </c>
      <c r="L33" s="40">
        <v>6.0</v>
      </c>
      <c r="M33" s="42" t="str">
        <f t="shared" si="10"/>
        <v/>
      </c>
      <c r="N33" s="27"/>
      <c r="O33" s="41" t="str">
        <f t="shared" si="11"/>
        <v/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5">
        <v>7.0</v>
      </c>
      <c r="B34" s="36" t="str">
        <f t="shared" si="4"/>
        <v/>
      </c>
      <c r="C34" s="36" t="str">
        <f t="shared" si="5"/>
        <v/>
      </c>
      <c r="D34" s="37">
        <v>7.0</v>
      </c>
      <c r="E34" s="38" t="str">
        <f t="shared" si="6"/>
        <v/>
      </c>
      <c r="F34" s="27"/>
      <c r="G34" s="36" t="str">
        <f t="shared" si="7"/>
        <v/>
      </c>
      <c r="H34" s="4"/>
      <c r="I34" s="39">
        <v>7.0</v>
      </c>
      <c r="J34" s="36" t="str">
        <f t="shared" si="8"/>
        <v/>
      </c>
      <c r="K34" s="36" t="str">
        <f t="shared" si="9"/>
        <v/>
      </c>
      <c r="L34" s="40">
        <v>7.0</v>
      </c>
      <c r="M34" s="38" t="str">
        <f t="shared" si="10"/>
        <v/>
      </c>
      <c r="N34" s="27"/>
      <c r="O34" s="36" t="str">
        <f t="shared" si="11"/>
        <v/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5">
        <v>8.0</v>
      </c>
      <c r="B35" s="41" t="str">
        <f t="shared" si="4"/>
        <v/>
      </c>
      <c r="C35" s="41" t="str">
        <f t="shared" si="5"/>
        <v/>
      </c>
      <c r="D35" s="37">
        <v>8.0</v>
      </c>
      <c r="E35" s="42" t="str">
        <f t="shared" si="6"/>
        <v/>
      </c>
      <c r="F35" s="27"/>
      <c r="G35" s="41" t="str">
        <f t="shared" si="7"/>
        <v/>
      </c>
      <c r="H35" s="4"/>
      <c r="I35" s="39">
        <v>8.0</v>
      </c>
      <c r="J35" s="41" t="str">
        <f t="shared" si="8"/>
        <v/>
      </c>
      <c r="K35" s="41" t="str">
        <f t="shared" si="9"/>
        <v/>
      </c>
      <c r="L35" s="40">
        <v>8.0</v>
      </c>
      <c r="M35" s="42" t="str">
        <f t="shared" si="10"/>
        <v/>
      </c>
      <c r="N35" s="27"/>
      <c r="O35" s="41" t="str">
        <f t="shared" si="11"/>
        <v/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5">
        <v>9.0</v>
      </c>
      <c r="B36" s="36" t="str">
        <f t="shared" si="4"/>
        <v/>
      </c>
      <c r="C36" s="36" t="str">
        <f t="shared" si="5"/>
        <v/>
      </c>
      <c r="D36" s="37">
        <v>9.0</v>
      </c>
      <c r="E36" s="38" t="str">
        <f t="shared" si="6"/>
        <v/>
      </c>
      <c r="F36" s="27"/>
      <c r="G36" s="36" t="str">
        <f t="shared" si="7"/>
        <v/>
      </c>
      <c r="H36" s="4"/>
      <c r="I36" s="39">
        <v>9.0</v>
      </c>
      <c r="J36" s="36" t="str">
        <f t="shared" si="8"/>
        <v/>
      </c>
      <c r="K36" s="36" t="str">
        <f t="shared" si="9"/>
        <v/>
      </c>
      <c r="L36" s="40">
        <v>9.0</v>
      </c>
      <c r="M36" s="38" t="str">
        <f t="shared" si="10"/>
        <v/>
      </c>
      <c r="N36" s="27"/>
      <c r="O36" s="36" t="str">
        <f t="shared" si="11"/>
        <v/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5">
        <v>10.0</v>
      </c>
      <c r="B37" s="41" t="str">
        <f t="shared" si="4"/>
        <v/>
      </c>
      <c r="C37" s="41" t="str">
        <f t="shared" si="5"/>
        <v/>
      </c>
      <c r="D37" s="37">
        <v>10.0</v>
      </c>
      <c r="E37" s="42" t="str">
        <f t="shared" si="6"/>
        <v/>
      </c>
      <c r="F37" s="27"/>
      <c r="G37" s="41" t="str">
        <f t="shared" si="7"/>
        <v/>
      </c>
      <c r="H37" s="4"/>
      <c r="I37" s="39">
        <v>10.0</v>
      </c>
      <c r="J37" s="41" t="str">
        <f t="shared" si="8"/>
        <v/>
      </c>
      <c r="K37" s="41" t="str">
        <f t="shared" si="9"/>
        <v/>
      </c>
      <c r="L37" s="40">
        <v>10.0</v>
      </c>
      <c r="M37" s="42" t="str">
        <f t="shared" si="10"/>
        <v/>
      </c>
      <c r="N37" s="27"/>
      <c r="O37" s="41" t="str">
        <f t="shared" si="11"/>
        <v/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35">
        <v>11.0</v>
      </c>
      <c r="B38" s="36" t="str">
        <f t="shared" si="4"/>
        <v/>
      </c>
      <c r="C38" s="36" t="str">
        <f t="shared" si="5"/>
        <v/>
      </c>
      <c r="D38" s="37">
        <v>11.0</v>
      </c>
      <c r="E38" s="38" t="str">
        <f t="shared" si="6"/>
        <v/>
      </c>
      <c r="F38" s="27"/>
      <c r="G38" s="36" t="str">
        <f t="shared" si="7"/>
        <v/>
      </c>
      <c r="H38" s="4"/>
      <c r="I38" s="39">
        <v>11.0</v>
      </c>
      <c r="J38" s="36" t="str">
        <f t="shared" si="8"/>
        <v/>
      </c>
      <c r="K38" s="36" t="str">
        <f t="shared" si="9"/>
        <v/>
      </c>
      <c r="L38" s="40">
        <v>11.0</v>
      </c>
      <c r="M38" s="38" t="str">
        <f t="shared" si="10"/>
        <v/>
      </c>
      <c r="N38" s="27"/>
      <c r="O38" s="36" t="str">
        <f t="shared" si="11"/>
        <v/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5">
        <v>12.0</v>
      </c>
      <c r="B39" s="41" t="str">
        <f t="shared" si="4"/>
        <v/>
      </c>
      <c r="C39" s="41" t="str">
        <f t="shared" si="5"/>
        <v/>
      </c>
      <c r="D39" s="37">
        <v>12.0</v>
      </c>
      <c r="E39" s="42" t="str">
        <f t="shared" si="6"/>
        <v/>
      </c>
      <c r="F39" s="27"/>
      <c r="G39" s="41" t="str">
        <f t="shared" si="7"/>
        <v/>
      </c>
      <c r="H39" s="4"/>
      <c r="I39" s="39">
        <v>12.0</v>
      </c>
      <c r="J39" s="41" t="str">
        <f t="shared" si="8"/>
        <v/>
      </c>
      <c r="K39" s="41" t="str">
        <f t="shared" si="9"/>
        <v/>
      </c>
      <c r="L39" s="40">
        <v>12.0</v>
      </c>
      <c r="M39" s="42" t="str">
        <f t="shared" si="10"/>
        <v/>
      </c>
      <c r="N39" s="27"/>
      <c r="O39" s="41" t="str">
        <f t="shared" si="11"/>
        <v/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35">
        <v>13.0</v>
      </c>
      <c r="B40" s="36" t="str">
        <f t="shared" si="4"/>
        <v/>
      </c>
      <c r="C40" s="36" t="str">
        <f t="shared" si="5"/>
        <v/>
      </c>
      <c r="D40" s="43" t="s">
        <v>67</v>
      </c>
      <c r="E40" s="44"/>
      <c r="F40" s="45"/>
      <c r="G40" s="2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35">
        <v>14.0</v>
      </c>
      <c r="B41" s="41" t="str">
        <f t="shared" si="4"/>
        <v/>
      </c>
      <c r="C41" s="41" t="str">
        <f t="shared" si="5"/>
        <v/>
      </c>
      <c r="D41" s="43" t="s">
        <v>68</v>
      </c>
      <c r="E41" s="44"/>
      <c r="F41" s="45"/>
      <c r="G41" s="2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35">
        <v>15.0</v>
      </c>
      <c r="B42" s="36" t="str">
        <f t="shared" si="4"/>
        <v/>
      </c>
      <c r="C42" s="36" t="str">
        <f t="shared" si="5"/>
        <v/>
      </c>
      <c r="D42" s="43" t="s">
        <v>69</v>
      </c>
      <c r="E42" s="44"/>
      <c r="F42" s="45"/>
      <c r="G42" s="2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35">
        <v>16.0</v>
      </c>
      <c r="B43" s="41" t="str">
        <f t="shared" si="4"/>
        <v/>
      </c>
      <c r="C43" s="41" t="str">
        <f t="shared" si="5"/>
        <v/>
      </c>
      <c r="D43" s="43" t="s">
        <v>70</v>
      </c>
      <c r="E43" s="44"/>
      <c r="F43" s="45"/>
      <c r="G43" s="2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6" t="s">
        <v>71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5">
    <mergeCell ref="J23:K23"/>
    <mergeCell ref="M23:N23"/>
    <mergeCell ref="J24:K24"/>
    <mergeCell ref="M24:N24"/>
    <mergeCell ref="A1:O1"/>
    <mergeCell ref="F2:G2"/>
    <mergeCell ref="M2:O2"/>
    <mergeCell ref="A3:O3"/>
    <mergeCell ref="A22:O22"/>
    <mergeCell ref="B23:C23"/>
    <mergeCell ref="B24:C24"/>
    <mergeCell ref="E23:F23"/>
    <mergeCell ref="E24:F24"/>
    <mergeCell ref="E27:F27"/>
    <mergeCell ref="E28:F28"/>
    <mergeCell ref="E29:F29"/>
    <mergeCell ref="E30:F30"/>
    <mergeCell ref="E31:F31"/>
    <mergeCell ref="M33:N33"/>
    <mergeCell ref="M34:N34"/>
    <mergeCell ref="M35:N35"/>
    <mergeCell ref="M36:N36"/>
    <mergeCell ref="M37:N37"/>
    <mergeCell ref="M38:N38"/>
    <mergeCell ref="M39:N39"/>
    <mergeCell ref="A26:O26"/>
    <mergeCell ref="M27:N27"/>
    <mergeCell ref="M28:N28"/>
    <mergeCell ref="M29:N29"/>
    <mergeCell ref="M30:N30"/>
    <mergeCell ref="M31:N31"/>
    <mergeCell ref="M32:N32"/>
    <mergeCell ref="E39:F39"/>
    <mergeCell ref="E40:G40"/>
    <mergeCell ref="E41:G41"/>
    <mergeCell ref="E42:G42"/>
    <mergeCell ref="E43:G43"/>
    <mergeCell ref="A45:O46"/>
    <mergeCell ref="E32:F32"/>
    <mergeCell ref="E33:F33"/>
    <mergeCell ref="E34:F34"/>
    <mergeCell ref="E35:F35"/>
    <mergeCell ref="E36:F36"/>
    <mergeCell ref="E37:F37"/>
    <mergeCell ref="E38:F38"/>
  </mergeCells>
  <conditionalFormatting sqref="C8">
    <cfRule type="expression" dxfId="0" priority="1">
      <formula>UPPER(LEFT($C8,1))="R"</formula>
    </cfRule>
  </conditionalFormatting>
  <conditionalFormatting sqref="C8">
    <cfRule type="expression" dxfId="1" priority="2">
      <formula>UPPER(LEFT($C8,1))="G"</formula>
    </cfRule>
  </conditionalFormatting>
  <conditionalFormatting sqref="C8">
    <cfRule type="expression" dxfId="2" priority="3">
      <formula>UPPER(LEFT($C8,1))="B"</formula>
    </cfRule>
  </conditionalFormatting>
  <conditionalFormatting sqref="C8">
    <cfRule type="expression" dxfId="3" priority="4">
      <formula>UPPER(LEFT($C8,1))="O"</formula>
    </cfRule>
  </conditionalFormatting>
  <conditionalFormatting sqref="D5:D20">
    <cfRule type="expression" dxfId="0" priority="5">
      <formula>UPPER(LEFT($D5,1))="R"</formula>
    </cfRule>
  </conditionalFormatting>
  <conditionalFormatting sqref="D5:D20">
    <cfRule type="expression" dxfId="1" priority="6">
      <formula>UPPER(LEFT($D5,1))="G"</formula>
    </cfRule>
  </conditionalFormatting>
  <conditionalFormatting sqref="D5:D20">
    <cfRule type="expression" dxfId="2" priority="7">
      <formula>UPPER(LEFT($D5,1))="B"</formula>
    </cfRule>
  </conditionalFormatting>
  <conditionalFormatting sqref="D5:D20">
    <cfRule type="expression" dxfId="3" priority="8">
      <formula>UPPER(LEFT($D5,1))="O"</formula>
    </cfRule>
  </conditionalFormatting>
  <conditionalFormatting sqref="L5:L20">
    <cfRule type="expression" dxfId="0" priority="9">
      <formula>UPPER(LEFT($L5,1))="R"</formula>
    </cfRule>
  </conditionalFormatting>
  <conditionalFormatting sqref="L5:L20">
    <cfRule type="expression" dxfId="1" priority="10">
      <formula>UPPER(LEFT($L5,1))="G"</formula>
    </cfRule>
  </conditionalFormatting>
  <conditionalFormatting sqref="L5:L20">
    <cfRule type="expression" dxfId="2" priority="11">
      <formula>UPPER(LEFT($L5,1))="B"</formula>
    </cfRule>
  </conditionalFormatting>
  <conditionalFormatting sqref="L5:L20">
    <cfRule type="expression" dxfId="3" priority="12">
      <formula>UPPER(LEFT($L5,1))="O"</formula>
    </cfRule>
  </conditionalFormatting>
  <dataValidations>
    <dataValidation type="list" allowBlank="1" sqref="E5:E20 M5:M20">
      <formula1>"✓"</formula1>
    </dataValidation>
    <dataValidation type="list" allowBlank="1" sqref="F5:F20 N5:N20">
      <formula1>"Short,Tall,Boom,Bar,Clip,DI,—"</formula1>
    </dataValidation>
  </dataValidations>
  <printOptions/>
  <pageMargins bottom="0.4" footer="0.0" header="0.0" left="0.3" right="0.3" top="0.4"/>
  <pageSetup orientation="landscape"/>
  <drawing r:id="rId1"/>
</worksheet>
</file>